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oDaLio\Desktop\"/>
    </mc:Choice>
  </mc:AlternateContent>
  <xr:revisionPtr revIDLastSave="0" documentId="13_ncr:1_{86F445FD-1B9F-49B8-9023-B8A651C1F98C}" xr6:coauthVersionLast="45" xr6:coauthVersionMax="45" xr10:uidLastSave="{00000000-0000-0000-0000-000000000000}"/>
  <bookViews>
    <workbookView xWindow="-110" yWindow="-110" windowWidth="19420" windowHeight="10420" activeTab="34" xr2:uid="{69F6460B-607E-4CA8-AE7A-01BFFC7D048B}"/>
  </bookViews>
  <sheets>
    <sheet name="MOD_IL_02" sheetId="1" r:id="rId1"/>
    <sheet name="M1P1" sheetId="2" r:id="rId2"/>
    <sheet name="M1P2" sheetId="3" r:id="rId3"/>
    <sheet name="M2P4" sheetId="5" r:id="rId4"/>
    <sheet name="M1P3" sheetId="4" r:id="rId5"/>
    <sheet name="M2P5" sheetId="6" r:id="rId6"/>
    <sheet name="M2P6" sheetId="7" r:id="rId7"/>
    <sheet name="M2P7" sheetId="8" r:id="rId8"/>
    <sheet name="M2P8" sheetId="9" r:id="rId9"/>
    <sheet name="M3P9" sheetId="10" r:id="rId10"/>
    <sheet name="M3P10" sheetId="11" r:id="rId11"/>
    <sheet name="M3P11" sheetId="12" r:id="rId12"/>
    <sheet name="M4P12" sheetId="13" r:id="rId13"/>
    <sheet name="M4P13" sheetId="14" r:id="rId14"/>
    <sheet name="M4P14" sheetId="15" r:id="rId15"/>
    <sheet name="M4P15" sheetId="16" r:id="rId16"/>
    <sheet name="M4P16" sheetId="17" r:id="rId17"/>
    <sheet name="M4P17" sheetId="18" r:id="rId18"/>
    <sheet name="M5P18" sheetId="19" r:id="rId19"/>
    <sheet name="M5P19" sheetId="20" r:id="rId20"/>
    <sheet name="M5P20" sheetId="21" r:id="rId21"/>
    <sheet name="M5P21" sheetId="22" r:id="rId22"/>
    <sheet name="M6P22" sheetId="23" r:id="rId23"/>
    <sheet name="M6P23" sheetId="24" r:id="rId24"/>
    <sheet name="M6P24" sheetId="25" r:id="rId25"/>
    <sheet name="M7P25" sheetId="26" r:id="rId26"/>
    <sheet name="M7P26" sheetId="27" r:id="rId27"/>
    <sheet name="M7P27" sheetId="28" r:id="rId28"/>
    <sheet name="M8P28" sheetId="29" r:id="rId29"/>
    <sheet name="M8P29" sheetId="30" r:id="rId30"/>
    <sheet name="M8P30" sheetId="31" r:id="rId31"/>
    <sheet name="M8P31" sheetId="32" r:id="rId32"/>
    <sheet name="M8P32" sheetId="33" r:id="rId33"/>
    <sheet name="M8P33" sheetId="34" r:id="rId34"/>
    <sheet name="M8P34" sheetId="35" r:id="rId3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35" l="1"/>
  <c r="H10" i="35"/>
  <c r="G10" i="35"/>
  <c r="F10" i="35"/>
  <c r="E10" i="35"/>
  <c r="D10" i="35"/>
  <c r="I10" i="34"/>
  <c r="H10" i="34"/>
  <c r="G10" i="34"/>
  <c r="F10" i="34"/>
  <c r="E10" i="34"/>
  <c r="D10" i="34"/>
  <c r="I10" i="33"/>
  <c r="H10" i="33"/>
  <c r="G10" i="33"/>
  <c r="F10" i="33"/>
  <c r="E10" i="33"/>
  <c r="D10" i="33"/>
  <c r="I10" i="32"/>
  <c r="H10" i="32"/>
  <c r="G10" i="32"/>
  <c r="F10" i="32"/>
  <c r="E10" i="32"/>
  <c r="D10" i="32"/>
  <c r="I10" i="31"/>
  <c r="H10" i="31"/>
  <c r="G10" i="31"/>
  <c r="F10" i="31"/>
  <c r="E10" i="31"/>
  <c r="D10" i="31"/>
  <c r="I10" i="30"/>
  <c r="H10" i="30"/>
  <c r="G10" i="30"/>
  <c r="F10" i="30"/>
  <c r="E10" i="30"/>
  <c r="D10" i="30"/>
  <c r="I10" i="29"/>
  <c r="H10" i="29"/>
  <c r="G10" i="29"/>
  <c r="F10" i="29"/>
  <c r="E10" i="29"/>
  <c r="D10" i="29"/>
  <c r="I10" i="28"/>
  <c r="H10" i="28"/>
  <c r="G10" i="28"/>
  <c r="F10" i="28"/>
  <c r="E10" i="28"/>
  <c r="D10" i="28"/>
  <c r="I10" i="27"/>
  <c r="H10" i="27"/>
  <c r="G10" i="27"/>
  <c r="F10" i="27"/>
  <c r="E10" i="27"/>
  <c r="D10" i="27"/>
  <c r="I10" i="26"/>
  <c r="H10" i="26"/>
  <c r="G10" i="26"/>
  <c r="F10" i="26"/>
  <c r="E10" i="26"/>
  <c r="D10" i="26"/>
  <c r="I10" i="25"/>
  <c r="H10" i="25"/>
  <c r="G10" i="25"/>
  <c r="F10" i="25"/>
  <c r="E10" i="25"/>
  <c r="D10" i="25"/>
  <c r="I10" i="24"/>
  <c r="H10" i="24"/>
  <c r="G10" i="24"/>
  <c r="F10" i="24"/>
  <c r="E10" i="24"/>
  <c r="D10" i="24"/>
  <c r="I10" i="22"/>
  <c r="H10" i="22"/>
  <c r="G10" i="22"/>
  <c r="F10" i="22"/>
  <c r="E10" i="22"/>
  <c r="D10" i="22"/>
  <c r="I10" i="21"/>
  <c r="H10" i="21"/>
  <c r="G10" i="21"/>
  <c r="F10" i="21"/>
  <c r="E10" i="21"/>
  <c r="D10" i="21"/>
  <c r="E10" i="20"/>
  <c r="F10" i="20"/>
  <c r="G10" i="20"/>
  <c r="H10" i="20"/>
  <c r="I10" i="20"/>
  <c r="D10" i="20"/>
  <c r="I10" i="19"/>
  <c r="H10" i="19"/>
  <c r="G10" i="19"/>
  <c r="F10" i="19"/>
  <c r="E10" i="19"/>
  <c r="D10" i="19"/>
  <c r="I10" i="18"/>
  <c r="H10" i="18"/>
  <c r="G10" i="18"/>
  <c r="F10" i="18"/>
  <c r="E10" i="18"/>
  <c r="D10" i="18"/>
  <c r="E10" i="17"/>
  <c r="F10" i="17"/>
  <c r="G10" i="17"/>
  <c r="H10" i="17"/>
  <c r="I10" i="17"/>
  <c r="D10" i="17"/>
  <c r="E10" i="16"/>
  <c r="F10" i="16"/>
  <c r="G10" i="16"/>
  <c r="H10" i="16"/>
  <c r="I10" i="16"/>
  <c r="D10" i="16"/>
  <c r="E10" i="15"/>
  <c r="F10" i="15"/>
  <c r="G10" i="15"/>
  <c r="H10" i="15"/>
  <c r="I10" i="15"/>
  <c r="D10" i="15"/>
  <c r="E10" i="14"/>
  <c r="F10" i="14"/>
  <c r="G10" i="14"/>
  <c r="H10" i="14"/>
  <c r="I10" i="14"/>
  <c r="D10" i="14"/>
  <c r="E10" i="13"/>
  <c r="F10" i="13"/>
  <c r="G10" i="13"/>
  <c r="H10" i="13"/>
  <c r="I10" i="13"/>
  <c r="D10" i="13"/>
  <c r="E20" i="12"/>
  <c r="F20" i="12"/>
  <c r="G20" i="12"/>
  <c r="H20" i="12"/>
  <c r="I20" i="12"/>
  <c r="E10" i="12"/>
  <c r="F10" i="12"/>
  <c r="G10" i="12"/>
  <c r="H10" i="12"/>
  <c r="I10" i="12"/>
  <c r="D20" i="12"/>
  <c r="D10" i="12"/>
  <c r="E10" i="11"/>
  <c r="F10" i="11"/>
  <c r="G10" i="11"/>
  <c r="H10" i="11"/>
  <c r="I10" i="11"/>
  <c r="D10" i="11"/>
  <c r="E10" i="10"/>
  <c r="F10" i="10"/>
  <c r="G10" i="10"/>
  <c r="H10" i="10"/>
  <c r="I10" i="10"/>
  <c r="D10" i="10"/>
  <c r="I20" i="9"/>
  <c r="H20" i="9"/>
  <c r="G20" i="9"/>
  <c r="F20" i="9"/>
  <c r="E20" i="9"/>
  <c r="D20" i="9"/>
  <c r="E10" i="9"/>
  <c r="F10" i="9"/>
  <c r="G10" i="9"/>
  <c r="H10" i="9"/>
  <c r="I10" i="9"/>
  <c r="D10" i="9"/>
  <c r="E10" i="8"/>
  <c r="F10" i="8"/>
  <c r="G10" i="8"/>
  <c r="H10" i="8"/>
  <c r="I10" i="8"/>
  <c r="D10" i="8"/>
  <c r="I10" i="7"/>
  <c r="H10" i="7"/>
  <c r="G10" i="7"/>
  <c r="F10" i="7"/>
  <c r="E10" i="7"/>
  <c r="D10" i="7"/>
  <c r="E10" i="6"/>
  <c r="F10" i="6"/>
  <c r="G10" i="6"/>
  <c r="H10" i="6"/>
  <c r="I10" i="6"/>
  <c r="D10" i="6"/>
  <c r="F9" i="5"/>
  <c r="G9" i="5"/>
  <c r="H9" i="5"/>
  <c r="I9" i="5"/>
  <c r="E9" i="5"/>
  <c r="D9" i="5"/>
  <c r="E10" i="4"/>
  <c r="F10" i="4"/>
  <c r="G10" i="4"/>
  <c r="H10" i="4"/>
  <c r="I10" i="4"/>
  <c r="J10" i="4"/>
  <c r="D10" i="4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D9" i="3"/>
  <c r="E10" i="2"/>
  <c r="F10" i="2"/>
  <c r="G10" i="2"/>
  <c r="H10" i="2"/>
  <c r="I10" i="2"/>
  <c r="J10" i="2"/>
  <c r="D10" i="2"/>
</calcChain>
</file>

<file path=xl/sharedStrings.xml><?xml version="1.0" encoding="utf-8"?>
<sst xmlns="http://schemas.openxmlformats.org/spreadsheetml/2006/main" count="623" uniqueCount="201">
  <si>
    <t>N° clienti sempre presenti negli ultimi 3 anni / numero clienti totali</t>
  </si>
  <si>
    <t>Monitoraggio: % Semestrale</t>
  </si>
  <si>
    <t>Bontà cliclo analitico -  capacità di gestione processo analitico</t>
  </si>
  <si>
    <t>Rapporto tra numero di analisi ripetute e numero di analisi totali</t>
  </si>
  <si>
    <t>Monitoraggio % mensile</t>
  </si>
  <si>
    <t>Tasso di insuccesso verso i clienti - mortalità naturale dei clienti</t>
  </si>
  <si>
    <t>N° clienti persi negli ultimi 3 anni / numero clienti totali</t>
  </si>
  <si>
    <t>Monitoraggio: % quadrimestrale</t>
  </si>
  <si>
    <t xml:space="preserve">M1P1: Riesame delle richieste, delle offerte e dei contratti </t>
  </si>
  <si>
    <t xml:space="preserve">M1P2: Selezione dei metodi </t>
  </si>
  <si>
    <t xml:space="preserve">M1: GESTIONE DEL CLIENTE (Macro Processo): </t>
  </si>
  <si>
    <t>M1P3: Collaborazione con il cliente</t>
  </si>
  <si>
    <t xml:space="preserve">M2: PROCESSO ANALITICO  (Macro Processo): </t>
  </si>
  <si>
    <t>M2P4: Campionamento/prelievo</t>
  </si>
  <si>
    <t>M2P5: Manipolazione degli oggetti sottoposti a prova</t>
  </si>
  <si>
    <t>M2P6: Attuazione metodi di prova</t>
  </si>
  <si>
    <t>M2P7: Registrazioni tecniche</t>
  </si>
  <si>
    <t>M2P8: Presentazione dei risultati – rapporti di prova</t>
  </si>
  <si>
    <t xml:space="preserve">M3: RISORSE UMANE (Macro Processo): </t>
  </si>
  <si>
    <t>M3P9: Soggetto giuridico e imparzialità</t>
  </si>
  <si>
    <t>M3P10: Riservatezza</t>
  </si>
  <si>
    <t>M3P11: Personale – competenza - personale - autorità e responsabilità</t>
  </si>
  <si>
    <t xml:space="preserve">M4: APPARECCHIATURE (Macro Processo): </t>
  </si>
  <si>
    <t>M4P12: Disponibilità ed identificazione</t>
  </si>
  <si>
    <t>M4P13: Manutenzione/taratura e conferma metrologica</t>
  </si>
  <si>
    <t>M4P14: Registrazioni tecniche</t>
  </si>
  <si>
    <t>M4P15: Gestione operativa apparecchiature</t>
  </si>
  <si>
    <t>M4P16: Materiali di riferimento e riferibilità metrologica</t>
  </si>
  <si>
    <t>M4P17: Campioni di riferimento e riferibilità metrologica</t>
  </si>
  <si>
    <t xml:space="preserve">M5: APPROVVIGIONAMENTO/INFRASTRUTTURA (Macro Processo): </t>
  </si>
  <si>
    <t>M5P18: Organizzazione locali di prova</t>
  </si>
  <si>
    <t xml:space="preserve">M5P19: Controllo degli ambienti e protezione campioni </t>
  </si>
  <si>
    <t>M5P20: Acquisto e gestione apparecchiature/beni/servizi/dotazioni</t>
  </si>
  <si>
    <t>M5P21: Organizzazione dei flussi di lavoro</t>
  </si>
  <si>
    <t xml:space="preserve">M6: VERIFICA E VALIDAZIONE METODI DI PROVA  (Macro Processo): </t>
  </si>
  <si>
    <t>M6P22: Valutazione incertezza di misura</t>
  </si>
  <si>
    <t>M6P23: Assicurazione validità dei dati</t>
  </si>
  <si>
    <t>M6P24: Validazione/verifica delle prestazioni dei metodi di prova</t>
  </si>
  <si>
    <t xml:space="preserve">M7: SISTEMA DI GESTIONE ED INFORMAZIONI (Macro Processo): </t>
  </si>
  <si>
    <t>M7P25: Gestione e controllo della documentazione del sistema</t>
  </si>
  <si>
    <t>M7P26: Controllo dei dati-gestione delle informazioni</t>
  </si>
  <si>
    <t>M7P27: Controllo dati e gestione delle registrazioni</t>
  </si>
  <si>
    <t>M8P28: Reclami</t>
  </si>
  <si>
    <t>M8P29: Attività non conformi</t>
  </si>
  <si>
    <t>M8P30: Gestione delle azioni correttive</t>
  </si>
  <si>
    <t>M8P31: Riesame della direzione</t>
  </si>
  <si>
    <t>M8P32: Audit interni</t>
  </si>
  <si>
    <t>M8P33: Miglioramento e pianificazione</t>
  </si>
  <si>
    <t>M8P34: Azioni per affrontare rischi ed opportunità</t>
  </si>
  <si>
    <t>KPI</t>
  </si>
  <si>
    <t>Tasso durata rapporti contrattuali  -  misura la fidelizzazione del cliente</t>
  </si>
  <si>
    <t xml:space="preserve">Numero di campionamenti proposti dal cliente (tempi di campionamento rispettati) </t>
  </si>
  <si>
    <t>N° campionamenti eseguiti nei tempi prefissati dal cliente / N° campionamentio totali</t>
  </si>
  <si>
    <t>Monitoraggio: &gt; 85 % annuale</t>
  </si>
  <si>
    <t>Numero di campionamenti risultati conformi (campione accettato - non accettato)</t>
  </si>
  <si>
    <t>[N° campionamenti non conformi / N° campionamenti totali] x 100</t>
  </si>
  <si>
    <t>Monitoraggio: &lt; 3 % annuale</t>
  </si>
  <si>
    <t>Percentuale di utilizzo dei metodi di prova accreditati in base al totale delle analisi svolte</t>
  </si>
  <si>
    <t>N° analisi per le quali è stato emesso rapporto di prova con marchio Accredia / numero di analisi svolte con emissione di rapporto di prova e Rdp senza marchio accredia</t>
  </si>
  <si>
    <t xml:space="preserve">Monitoraggio: % quadrimestrale </t>
  </si>
  <si>
    <t>Monitoraggio: % annuale</t>
  </si>
  <si>
    <t>Correlazione tra i dati inseriti nel LIMS e quelli presenti nel Foglio di lavoro</t>
  </si>
  <si>
    <t xml:space="preserve">N° Fogli di Lavoro risultati conformi con i dati di analisi e quelli inseriti nel LIMS di laboratorio dopo il controllo di RL / totale dei Dati inseriti </t>
  </si>
  <si>
    <t>Numero di rapporti emessi senza successive modifiche, revisioni</t>
  </si>
  <si>
    <t>N° RDP emessi / N° RDP REVISIONATI e N° RDP emessi / N° RDP RITIRATI</t>
  </si>
  <si>
    <t xml:space="preserve">Individuazione e tenuta sotto controllo dei processi a rischio rispetto all'imparzialità </t>
  </si>
  <si>
    <t xml:space="preserve">Monitoraggio: % annuale </t>
  </si>
  <si>
    <t>Individuazione di fuga di informazioni riservate</t>
  </si>
  <si>
    <t>n° Rapporti di prova inviati al cliente mediante il LIMS di laboratorio / N° totale Rapporti di prova</t>
  </si>
  <si>
    <t>Controlli di routine eseguiti sull'attività dell'operatore: risultati conformi rispetto al totale.</t>
  </si>
  <si>
    <t>N° controlli non conformi / numero controlli totali e N° PT non conformi / numero PT totali</t>
  </si>
  <si>
    <t>Numero di campioni non processati per indisponibilità della strumentazione / Numero campioni totali</t>
  </si>
  <si>
    <t>Indisponibilità strumentale per campioni già accettati dal laboratorio</t>
  </si>
  <si>
    <t>Numero certificati di taratura non approvati dal laboratorio(non conformi) / numero di certificati totali</t>
  </si>
  <si>
    <t xml:space="preserve">Conformità certificati di taratura </t>
  </si>
  <si>
    <t>Numero rapporto di prova CORRETTI / Numero rapporti di prova emessi * 100</t>
  </si>
  <si>
    <t>Modifiche apportate a registrazioni tecniche del laboratorio</t>
  </si>
  <si>
    <t>Numero di controlli ambientali non conformi / numero controlli ambientali totali * 100</t>
  </si>
  <si>
    <t>Monitoraggio controlli ambientali dei locali</t>
  </si>
  <si>
    <t>Giacenze scadute /giacenze totali * 100</t>
  </si>
  <si>
    <t>Controllo scadenze delle giacenze MR/CRM</t>
  </si>
  <si>
    <t>Numero certificati di taratura non approvati dal laboratorio (non conformi) / numero di certificati totali</t>
  </si>
  <si>
    <t>Numero di fuori limite temperatura data logger / Numero totale di rilevazioni dei datalogger</t>
  </si>
  <si>
    <t>Monitoraggio: % Mensile</t>
  </si>
  <si>
    <t>Controllo locali del laboratorio</t>
  </si>
  <si>
    <t>Numero controlli ambientali fuori limite / numero totale controlli *100</t>
  </si>
  <si>
    <t>Monitoraggio % annuale</t>
  </si>
  <si>
    <t>Monitoraggio organizzazione locali del laboratorio</t>
  </si>
  <si>
    <t>Numero ordini non conformi / Ordini totali</t>
  </si>
  <si>
    <t>Monitoraggio ordini di acquisto</t>
  </si>
  <si>
    <t>Monitoraggio gestione flussi di lavoro</t>
  </si>
  <si>
    <t>n.a.</t>
  </si>
  <si>
    <t>Tempo di esecuzione analisi / Tempo di compilazione dato in carta di controllo</t>
  </si>
  <si>
    <t>Tempo di compilazione carte di controllo</t>
  </si>
  <si>
    <t>Tasso di robustezza sviluppo metodi</t>
  </si>
  <si>
    <t>n. di metodi rilasciati/somma tra n. di metodi rilasciati e n. modifiche effettuate ai metodi prima della loro messa in funzione</t>
  </si>
  <si>
    <t>Numero di documenti messi a sistema dopo 3 mesi dalla pubblicazione / numero di documenti in vigore * 100</t>
  </si>
  <si>
    <t>Monitoraggio gestione documentazione sistema</t>
  </si>
  <si>
    <t>Numero rivalidazioni software effettuate / numero totale aggiornamenti software effettuati * 100</t>
  </si>
  <si>
    <t>Validazioni dei software</t>
  </si>
  <si>
    <t>Numero NC audit DPO / Numero totale NC altri audit interni/esterni riguardanti il controllo dei dati e delle registrazioni * 100</t>
  </si>
  <si>
    <t>Monitoraggio gestione dati e registrazioni sensibili</t>
  </si>
  <si>
    <t>Tasso di efficacia nella gestione dei reclami - Capacità di risolvere i reclami</t>
  </si>
  <si>
    <t>Numero reclami risolti in modo efficace in prima istanza / numero di reclami totali</t>
  </si>
  <si>
    <t>Monitoraggio: % trimestrale</t>
  </si>
  <si>
    <t>Tasso di NC su valore - Valorizzazione di quanto non è stato possibile identificare con l'analisi del rischio</t>
  </si>
  <si>
    <t>Costo gestione NC / stima costi che sarebbero stati da sostenere per evitare la NC</t>
  </si>
  <si>
    <t>Tasso di efficacia AC - Capacità del laboratorio di pianificare ed attuare le AC in modo efficace</t>
  </si>
  <si>
    <t>Numero azioni correttive efficaci in prima verifica / numero azioni correttive totali</t>
  </si>
  <si>
    <t>Tasso di realizzazione riunione di riesame della direzione - Pianificazione efficace delle riunioni</t>
  </si>
  <si>
    <t>Riunioni pianificate / riunioni realizzate</t>
  </si>
  <si>
    <t>Monitoraggio: % Annuale</t>
  </si>
  <si>
    <t>Tasso di realizzazione audit - Rispetto del plan degli audit interni</t>
  </si>
  <si>
    <t>Rapporto tra audit effettuati / audit pianificati</t>
  </si>
  <si>
    <t>Monitoraggio: % semestrale</t>
  </si>
  <si>
    <t>Tasso di realizzazione progetti di miglioramento avviati - Capacità di realizzazione dei progetti pianificati</t>
  </si>
  <si>
    <t>Progetti realizzati /   Progetti pianificati</t>
  </si>
  <si>
    <t>Tasso di efficacia analisi del rischio metodologia SWOT - Adeguatezza metodo analisi del rischio</t>
  </si>
  <si>
    <t>AC attuate / AC possibili non attuate in fase di analisi del rischio</t>
  </si>
  <si>
    <t>Espressione operativa KPI</t>
  </si>
  <si>
    <t>Tempistiche monitoraggio</t>
  </si>
  <si>
    <t>N.B.: Da monitorare in seguito all'accreditamento ISO/IEC 17025</t>
  </si>
  <si>
    <t>N° processi sotto controllo / numero totale processi a rischio imparzialità</t>
  </si>
  <si>
    <t>Numero clienti totale</t>
  </si>
  <si>
    <t>Numero clienti sempre presenti ultimi 3 anni</t>
  </si>
  <si>
    <t>Criterio di accettabilità:</t>
  </si>
  <si>
    <t>%</t>
  </si>
  <si>
    <t>Numero di analisi ripetute:</t>
  </si>
  <si>
    <t>Numero di analisi totale:</t>
  </si>
  <si>
    <t>Numero clienti persi ultimi 3 anni</t>
  </si>
  <si>
    <t>Monitoraggio: annuale</t>
  </si>
  <si>
    <t>N° campionamenti eseguiti nei tempi prefissati dal cliente</t>
  </si>
  <si>
    <t>N° campionamenti eseguiti nei tempi prefissati dal cliente / N° campionamenti totali</t>
  </si>
  <si>
    <t>N° campionamenti totale</t>
  </si>
  <si>
    <t>N° campionamenti non conformi</t>
  </si>
  <si>
    <t>N° analisi per le quali è stato emesso rapporto di prova con marchio Accredia</t>
  </si>
  <si>
    <t xml:space="preserve">N° di analisi svolte con emissione di rapporto di prova e Rdp senza marchio </t>
  </si>
  <si>
    <t xml:space="preserve">N° Fogli di Lavoro risultati conformi </t>
  </si>
  <si>
    <t>N° dati inseriti LIMS totali</t>
  </si>
  <si>
    <t>N° rdp revisionati</t>
  </si>
  <si>
    <t>N° rdp emessi</t>
  </si>
  <si>
    <t>N° rdp ritirati</t>
  </si>
  <si>
    <t>N° RDP REVISIONATI/N° RDP emessi e N° RDP RITIRATI/N° RDP emessi</t>
  </si>
  <si>
    <t>N° processi sotto controllo</t>
  </si>
  <si>
    <t>N° totale processi</t>
  </si>
  <si>
    <t>N° Rapporti di prova inviati al cliente mediante il LIMS</t>
  </si>
  <si>
    <t>N° totale RdP</t>
  </si>
  <si>
    <t>N° controlli non conformi</t>
  </si>
  <si>
    <t>N° controlli totali</t>
  </si>
  <si>
    <t>N° PT non conformi</t>
  </si>
  <si>
    <t>N° PT totali</t>
  </si>
  <si>
    <t>N° campioni non processati per indisponibilità strumentazione</t>
  </si>
  <si>
    <t>N° campioni totali</t>
  </si>
  <si>
    <t>N° certificati di taratura non approvati dal laboratorio</t>
  </si>
  <si>
    <t>N° certificati totali</t>
  </si>
  <si>
    <t>N° rapporto di prova CORRETTI</t>
  </si>
  <si>
    <t>N° rapporti di prova totali</t>
  </si>
  <si>
    <t xml:space="preserve">N° controlli ambientali non conformi </t>
  </si>
  <si>
    <t>N° controlli ambientali totali</t>
  </si>
  <si>
    <t>N° giacenze scadute</t>
  </si>
  <si>
    <t>N° giacenze totali</t>
  </si>
  <si>
    <t>N° fuori limite temperatura data logger</t>
  </si>
  <si>
    <t>N° totale di rilevazioni dei datalogger</t>
  </si>
  <si>
    <t>ott-2020</t>
  </si>
  <si>
    <t>nov-2020</t>
  </si>
  <si>
    <t>dic-2020</t>
  </si>
  <si>
    <t>gen-2021</t>
  </si>
  <si>
    <t>feb-2021</t>
  </si>
  <si>
    <t>mar-2021</t>
  </si>
  <si>
    <t>N° controlli ambientali fuori limite</t>
  </si>
  <si>
    <t>N° ordini non conformi</t>
  </si>
  <si>
    <t>N° totale ordini</t>
  </si>
  <si>
    <t>Tempo di esecuzione analisi</t>
  </si>
  <si>
    <t>Tempo di compilazione dato in carta di controllo</t>
  </si>
  <si>
    <t>N° metodi rilasciati</t>
  </si>
  <si>
    <t>Somma N° metodi rilasciati + N° modifiche effettuate ai metodi prima della loro messa in funzione</t>
  </si>
  <si>
    <t>N° documenti messi a sistema dopo 3 mesi dalla pubblicazione</t>
  </si>
  <si>
    <t>N°documenti in vigore</t>
  </si>
  <si>
    <t>N° rivalidazioni software effettuate</t>
  </si>
  <si>
    <t>N° totale aggiornamenti software effettuati</t>
  </si>
  <si>
    <t>N° NC audit DPO</t>
  </si>
  <si>
    <t>N° totale NC altri audit interni/esterni riguardanti il controllo dei dati e delle registrazioni</t>
  </si>
  <si>
    <t>N° reclami risolti in modo efficace in prima istanza</t>
  </si>
  <si>
    <t>N° reclami totali</t>
  </si>
  <si>
    <t>apr-2021</t>
  </si>
  <si>
    <t>lug-2021</t>
  </si>
  <si>
    <t>ott-2021</t>
  </si>
  <si>
    <t>gen-2022</t>
  </si>
  <si>
    <t>Costo gestione NC</t>
  </si>
  <si>
    <t>Stima costi che sarebbero stati da sostenere per evitare la NC</t>
  </si>
  <si>
    <t xml:space="preserve">M8: MIGLIORAMENTO E PIANIFICAZIONE (Macro Processo): </t>
  </si>
  <si>
    <t>N° azioni correttive efficaci in prima verifica</t>
  </si>
  <si>
    <t>N° azioni correttive totali</t>
  </si>
  <si>
    <t>Riunioni pianificate</t>
  </si>
  <si>
    <t>Riunioni realizzate</t>
  </si>
  <si>
    <t>Audit effettuati</t>
  </si>
  <si>
    <t>Audit pianificati</t>
  </si>
  <si>
    <t>Progetti realizzati</t>
  </si>
  <si>
    <t>Progetti pianificati</t>
  </si>
  <si>
    <t>AC attuate</t>
  </si>
  <si>
    <t>AC possibili non attuate in fase di analisi del rischio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</si>
</sst>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slantDashDot">
        <color rgb="FF00206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2" fillId="0" borderId="0" xfId="0" applyFont="1" applyFill="1" applyAlignment="1">
      <alignment vertical="center" wrapText="1"/>
    </xf>
    <xf numFmtId="0" fontId="0" fillId="0" borderId="1" xfId="0" applyFill="1" applyBorder="1"/>
    <xf numFmtId="0" fontId="0" fillId="0" borderId="1" xfId="0" quotePrefix="1" applyBorder="1"/>
    <xf numFmtId="0" fontId="1" fillId="2" borderId="1" xfId="0" applyFont="1" applyFill="1" applyBorder="1"/>
    <xf numFmtId="0" fontId="0" fillId="0" borderId="0" xfId="0" applyBorder="1"/>
    <xf numFmtId="0" fontId="1" fillId="0" borderId="1" xfId="0" applyFont="1" applyFill="1" applyBorder="1"/>
    <xf numFmtId="17" fontId="0" fillId="0" borderId="0" xfId="0" applyNumberFormat="1"/>
    <xf numFmtId="0" fontId="0" fillId="2" borderId="2" xfId="0" applyFill="1" applyBorder="1" applyProtection="1">
      <protection locked="0"/>
    </xf>
    <xf numFmtId="49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2">
    <cellStyle name="Normale" xfId="0" builtinId="0"/>
    <cellStyle name="Normale 2" xfId="1" xr:uid="{F43C2B81-E773-434C-BA06-F96E06C24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DD63-8418-46E0-AE4E-AD57A631962A}">
  <dimension ref="A1:AA42"/>
  <sheetViews>
    <sheetView topLeftCell="K1" zoomScale="60" zoomScaleNormal="60" workbookViewId="0">
      <selection activeCell="T8" sqref="T8"/>
    </sheetView>
  </sheetViews>
  <sheetFormatPr defaultRowHeight="14.5" x14ac:dyDescent="0.35"/>
  <cols>
    <col min="1" max="1" width="12.08984375" customWidth="1"/>
    <col min="2" max="4" width="12"/>
    <col min="5" max="5" width="66.7265625" customWidth="1"/>
    <col min="6" max="8" width="12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  <col min="27" max="27" width="8.7265625" style="5"/>
  </cols>
  <sheetData>
    <row r="1" spans="1:27" ht="21" x14ac:dyDescent="0.5">
      <c r="A1" s="2" t="s">
        <v>10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  <c r="AA1" s="11"/>
    </row>
    <row r="2" spans="1:27" ht="25.5" customHeight="1" x14ac:dyDescent="0.35">
      <c r="A2" s="15" t="s">
        <v>8</v>
      </c>
      <c r="B2" s="15"/>
      <c r="C2" s="15"/>
      <c r="D2" s="15"/>
      <c r="E2" s="15"/>
      <c r="F2" s="1" t="s">
        <v>50</v>
      </c>
      <c r="K2" s="1" t="s">
        <v>0</v>
      </c>
      <c r="L2" s="6"/>
      <c r="M2" s="6"/>
      <c r="N2" s="6"/>
      <c r="O2" s="6"/>
      <c r="P2" s="6"/>
      <c r="Q2" s="1" t="s">
        <v>1</v>
      </c>
      <c r="R2" s="6"/>
      <c r="AA2" s="7"/>
    </row>
    <row r="3" spans="1:27" ht="26" customHeight="1" x14ac:dyDescent="0.35">
      <c r="A3" s="15" t="s">
        <v>9</v>
      </c>
      <c r="B3" s="15"/>
      <c r="C3" s="15"/>
      <c r="D3" s="15"/>
      <c r="E3" s="15"/>
      <c r="F3" s="1" t="s">
        <v>2</v>
      </c>
      <c r="K3" s="1" t="s">
        <v>3</v>
      </c>
      <c r="L3" s="6"/>
      <c r="M3" s="6"/>
      <c r="N3" s="6"/>
      <c r="O3" s="6"/>
      <c r="P3" s="6"/>
      <c r="Q3" s="1" t="s">
        <v>4</v>
      </c>
      <c r="R3" s="6"/>
      <c r="AA3" s="7"/>
    </row>
    <row r="4" spans="1:27" ht="26" x14ac:dyDescent="0.35">
      <c r="A4" s="15" t="s">
        <v>11</v>
      </c>
      <c r="B4" s="15"/>
      <c r="C4" s="15"/>
      <c r="D4" s="15"/>
      <c r="E4" s="15"/>
      <c r="F4" s="1" t="s">
        <v>5</v>
      </c>
      <c r="K4" s="1" t="s">
        <v>6</v>
      </c>
      <c r="Q4" s="1" t="s">
        <v>7</v>
      </c>
      <c r="AA4" s="7"/>
    </row>
    <row r="5" spans="1:27" ht="21" x14ac:dyDescent="0.5">
      <c r="A5" s="2" t="s">
        <v>12</v>
      </c>
      <c r="B5" s="3"/>
      <c r="C5" s="3"/>
      <c r="D5" s="3"/>
      <c r="E5" s="3"/>
      <c r="F5" s="4"/>
      <c r="G5" s="3"/>
      <c r="H5" s="3"/>
      <c r="I5" s="3"/>
      <c r="J5" s="3"/>
      <c r="K5" s="4"/>
      <c r="L5" s="3"/>
      <c r="M5" s="3"/>
      <c r="N5" s="3"/>
      <c r="O5" s="3"/>
      <c r="P5" s="3"/>
      <c r="Q5" s="4"/>
      <c r="R5" s="3"/>
      <c r="S5" s="3"/>
      <c r="T5" s="3"/>
      <c r="U5" s="3"/>
      <c r="V5" s="3"/>
      <c r="W5" s="3"/>
      <c r="X5" s="3"/>
      <c r="Y5" s="3"/>
      <c r="Z5" s="3"/>
      <c r="AA5" s="7"/>
    </row>
    <row r="6" spans="1:27" ht="26" x14ac:dyDescent="0.35">
      <c r="A6" s="15" t="s">
        <v>13</v>
      </c>
      <c r="B6" s="15"/>
      <c r="C6" s="15"/>
      <c r="D6" s="15"/>
      <c r="E6" s="15"/>
      <c r="F6" s="1" t="s">
        <v>51</v>
      </c>
      <c r="K6" s="1" t="s">
        <v>52</v>
      </c>
      <c r="Q6" s="1" t="s">
        <v>53</v>
      </c>
      <c r="AA6" s="7"/>
    </row>
    <row r="7" spans="1:27" ht="26" x14ac:dyDescent="0.35">
      <c r="A7" s="15" t="s">
        <v>14</v>
      </c>
      <c r="B7" s="15"/>
      <c r="C7" s="15"/>
      <c r="D7" s="15"/>
      <c r="E7" s="15"/>
      <c r="F7" s="1" t="s">
        <v>54</v>
      </c>
      <c r="K7" s="1" t="s">
        <v>55</v>
      </c>
      <c r="Q7" s="1" t="s">
        <v>56</v>
      </c>
      <c r="AA7" s="7"/>
    </row>
    <row r="8" spans="1:27" ht="26" x14ac:dyDescent="0.35">
      <c r="A8" s="15" t="s">
        <v>15</v>
      </c>
      <c r="B8" s="15"/>
      <c r="C8" s="15"/>
      <c r="D8" s="15"/>
      <c r="E8" s="15"/>
      <c r="F8" s="1" t="s">
        <v>57</v>
      </c>
      <c r="K8" s="1" t="s">
        <v>58</v>
      </c>
      <c r="Q8" s="1" t="s">
        <v>59</v>
      </c>
      <c r="T8" s="10"/>
      <c r="AA8" s="7"/>
    </row>
    <row r="9" spans="1:27" ht="26" x14ac:dyDescent="0.35">
      <c r="A9" s="15" t="s">
        <v>16</v>
      </c>
      <c r="B9" s="15"/>
      <c r="C9" s="15"/>
      <c r="D9" s="15"/>
      <c r="E9" s="15"/>
      <c r="F9" s="1" t="s">
        <v>61</v>
      </c>
      <c r="K9" s="1" t="s">
        <v>62</v>
      </c>
      <c r="Q9" s="1" t="s">
        <v>60</v>
      </c>
      <c r="AA9" s="7"/>
    </row>
    <row r="10" spans="1:27" ht="26" x14ac:dyDescent="0.35">
      <c r="A10" s="15" t="s">
        <v>17</v>
      </c>
      <c r="B10" s="15"/>
      <c r="C10" s="15"/>
      <c r="D10" s="15"/>
      <c r="E10" s="15"/>
      <c r="F10" s="1" t="s">
        <v>63</v>
      </c>
      <c r="K10" s="1" t="s">
        <v>64</v>
      </c>
      <c r="Q10" s="1" t="s">
        <v>60</v>
      </c>
      <c r="AA10" s="7"/>
    </row>
    <row r="11" spans="1:27" ht="21" x14ac:dyDescent="0.5">
      <c r="A11" s="2" t="s">
        <v>18</v>
      </c>
      <c r="B11" s="3"/>
      <c r="C11" s="3"/>
      <c r="D11" s="3"/>
      <c r="E11" s="3"/>
      <c r="F11" s="4"/>
      <c r="G11" s="3"/>
      <c r="H11" s="3"/>
      <c r="I11" s="3"/>
      <c r="J11" s="3"/>
      <c r="K11" s="4"/>
      <c r="L11" s="3"/>
      <c r="M11" s="3"/>
      <c r="N11" s="3"/>
      <c r="O11" s="3"/>
      <c r="P11" s="3"/>
      <c r="Q11" s="4"/>
      <c r="R11" s="3"/>
      <c r="S11" s="3"/>
      <c r="T11" s="3"/>
      <c r="U11" s="3"/>
      <c r="V11" s="3"/>
      <c r="W11" s="3"/>
      <c r="X11" s="3"/>
      <c r="Y11" s="3"/>
      <c r="Z11" s="3"/>
      <c r="AA11" s="7"/>
    </row>
    <row r="12" spans="1:27" ht="26" x14ac:dyDescent="0.35">
      <c r="A12" s="15" t="s">
        <v>19</v>
      </c>
      <c r="B12" s="15"/>
      <c r="C12" s="15"/>
      <c r="D12" s="15"/>
      <c r="E12" s="15"/>
      <c r="F12" s="1" t="s">
        <v>65</v>
      </c>
      <c r="K12" s="1" t="s">
        <v>122</v>
      </c>
      <c r="Q12" s="1" t="s">
        <v>66</v>
      </c>
      <c r="AA12" s="7"/>
    </row>
    <row r="13" spans="1:27" ht="26" customHeight="1" x14ac:dyDescent="0.35">
      <c r="A13" s="15" t="s">
        <v>20</v>
      </c>
      <c r="B13" s="15"/>
      <c r="C13" s="15"/>
      <c r="D13" s="15"/>
      <c r="E13" s="15"/>
      <c r="F13" s="1" t="s">
        <v>67</v>
      </c>
      <c r="K13" s="1" t="s">
        <v>68</v>
      </c>
      <c r="Q13" s="1" t="s">
        <v>66</v>
      </c>
      <c r="AA13" s="7"/>
    </row>
    <row r="14" spans="1:27" ht="26" customHeight="1" x14ac:dyDescent="0.35">
      <c r="A14" s="15" t="s">
        <v>21</v>
      </c>
      <c r="B14" s="15"/>
      <c r="C14" s="15"/>
      <c r="D14" s="15"/>
      <c r="E14" s="15"/>
      <c r="F14" s="1" t="s">
        <v>69</v>
      </c>
      <c r="K14" s="1" t="s">
        <v>70</v>
      </c>
      <c r="Q14" s="1" t="s">
        <v>60</v>
      </c>
      <c r="AA14" s="7"/>
    </row>
    <row r="15" spans="1:27" ht="21" x14ac:dyDescent="0.5">
      <c r="A15" s="2" t="s">
        <v>22</v>
      </c>
      <c r="B15" s="3"/>
      <c r="C15" s="3"/>
      <c r="D15" s="3"/>
      <c r="E15" s="3"/>
      <c r="F15" s="4"/>
      <c r="G15" s="3"/>
      <c r="H15" s="3"/>
      <c r="I15" s="3"/>
      <c r="J15" s="3"/>
      <c r="K15" s="4"/>
      <c r="L15" s="3"/>
      <c r="M15" s="3"/>
      <c r="N15" s="3"/>
      <c r="O15" s="3"/>
      <c r="P15" s="3"/>
      <c r="Q15" s="4"/>
      <c r="R15" s="3"/>
      <c r="S15" s="3"/>
      <c r="T15" s="3"/>
      <c r="U15" s="3"/>
      <c r="V15" s="3"/>
      <c r="W15" s="3"/>
      <c r="X15" s="3"/>
      <c r="Y15" s="3"/>
      <c r="Z15" s="3"/>
      <c r="AA15" s="7"/>
    </row>
    <row r="16" spans="1:27" ht="26" x14ac:dyDescent="0.35">
      <c r="A16" s="15" t="s">
        <v>23</v>
      </c>
      <c r="B16" s="15"/>
      <c r="C16" s="15"/>
      <c r="D16" s="15"/>
      <c r="E16" s="15"/>
      <c r="F16" s="7" t="s">
        <v>72</v>
      </c>
      <c r="K16" s="1" t="s">
        <v>71</v>
      </c>
      <c r="Q16" s="1" t="s">
        <v>60</v>
      </c>
      <c r="AA16" s="7"/>
    </row>
    <row r="17" spans="1:27" ht="26" x14ac:dyDescent="0.35">
      <c r="A17" s="15" t="s">
        <v>24</v>
      </c>
      <c r="B17" s="15"/>
      <c r="C17" s="15"/>
      <c r="D17" s="15"/>
      <c r="E17" s="15"/>
      <c r="F17" s="7" t="s">
        <v>74</v>
      </c>
      <c r="K17" s="1" t="s">
        <v>73</v>
      </c>
      <c r="Q17" s="1" t="s">
        <v>60</v>
      </c>
      <c r="AA17" s="7"/>
    </row>
    <row r="18" spans="1:27" ht="26" x14ac:dyDescent="0.35">
      <c r="A18" s="15" t="s">
        <v>25</v>
      </c>
      <c r="B18" s="15"/>
      <c r="C18" s="15"/>
      <c r="D18" s="15"/>
      <c r="E18" s="15"/>
      <c r="F18" s="7" t="s">
        <v>76</v>
      </c>
      <c r="K18" s="1" t="s">
        <v>75</v>
      </c>
      <c r="Q18" s="1" t="s">
        <v>60</v>
      </c>
      <c r="AA18" s="7"/>
    </row>
    <row r="19" spans="1:27" ht="26" x14ac:dyDescent="0.35">
      <c r="A19" s="15" t="s">
        <v>26</v>
      </c>
      <c r="B19" s="15"/>
      <c r="C19" s="15"/>
      <c r="D19" s="15"/>
      <c r="E19" s="15"/>
      <c r="F19" s="7" t="s">
        <v>78</v>
      </c>
      <c r="K19" s="1" t="s">
        <v>77</v>
      </c>
      <c r="Q19" s="1" t="s">
        <v>60</v>
      </c>
      <c r="AA19" s="7"/>
    </row>
    <row r="20" spans="1:27" ht="26" x14ac:dyDescent="0.35">
      <c r="A20" s="15" t="s">
        <v>27</v>
      </c>
      <c r="B20" s="15"/>
      <c r="C20" s="15"/>
      <c r="D20" s="15"/>
      <c r="E20" s="15"/>
      <c r="F20" s="8" t="s">
        <v>80</v>
      </c>
      <c r="K20" s="1" t="s">
        <v>79</v>
      </c>
      <c r="Q20" s="1" t="s">
        <v>60</v>
      </c>
      <c r="AA20" s="7"/>
    </row>
    <row r="21" spans="1:27" ht="26" x14ac:dyDescent="0.35">
      <c r="A21" s="15" t="s">
        <v>28</v>
      </c>
      <c r="B21" s="15"/>
      <c r="C21" s="15"/>
      <c r="D21" s="15"/>
      <c r="E21" s="15"/>
      <c r="F21" s="7" t="s">
        <v>74</v>
      </c>
      <c r="K21" s="1" t="s">
        <v>81</v>
      </c>
      <c r="Q21" s="1" t="s">
        <v>60</v>
      </c>
      <c r="AA21" s="7"/>
    </row>
    <row r="22" spans="1:27" ht="26" customHeight="1" x14ac:dyDescent="0.5">
      <c r="A22" s="2" t="s">
        <v>29</v>
      </c>
      <c r="B22" s="3"/>
      <c r="C22" s="3"/>
      <c r="D22" s="3"/>
      <c r="E22" s="3"/>
      <c r="F22" s="4"/>
      <c r="G22" s="3"/>
      <c r="H22" s="3"/>
      <c r="I22" s="3"/>
      <c r="J22" s="3"/>
      <c r="K22" s="4"/>
      <c r="L22" s="3"/>
      <c r="M22" s="3"/>
      <c r="N22" s="3"/>
      <c r="O22" s="3"/>
      <c r="P22" s="3"/>
      <c r="Q22" s="4"/>
      <c r="R22" s="3"/>
      <c r="S22" s="3"/>
      <c r="T22" s="3"/>
      <c r="U22" s="3"/>
      <c r="V22" s="3"/>
      <c r="W22" s="3"/>
      <c r="X22" s="3"/>
      <c r="Y22" s="3"/>
      <c r="Z22" s="3"/>
      <c r="AA22" s="7"/>
    </row>
    <row r="23" spans="1:27" ht="26" x14ac:dyDescent="0.35">
      <c r="A23" s="15" t="s">
        <v>30</v>
      </c>
      <c r="B23" s="15"/>
      <c r="C23" s="15"/>
      <c r="D23" s="15"/>
      <c r="E23" s="15"/>
      <c r="F23" s="7" t="s">
        <v>87</v>
      </c>
      <c r="K23" s="1" t="s">
        <v>82</v>
      </c>
      <c r="Q23" s="1" t="s">
        <v>83</v>
      </c>
      <c r="AA23" s="7"/>
    </row>
    <row r="24" spans="1:27" ht="26" x14ac:dyDescent="0.35">
      <c r="A24" s="15" t="s">
        <v>31</v>
      </c>
      <c r="B24" s="15"/>
      <c r="C24" s="15"/>
      <c r="D24" s="15"/>
      <c r="E24" s="15"/>
      <c r="F24" s="7" t="s">
        <v>84</v>
      </c>
      <c r="K24" s="1" t="s">
        <v>85</v>
      </c>
      <c r="Q24" s="1" t="s">
        <v>86</v>
      </c>
      <c r="AA24" s="7"/>
    </row>
    <row r="25" spans="1:27" ht="26" x14ac:dyDescent="0.35">
      <c r="A25" s="15" t="s">
        <v>32</v>
      </c>
      <c r="B25" s="15"/>
      <c r="C25" s="15"/>
      <c r="D25" s="15"/>
      <c r="E25" s="15"/>
      <c r="F25" s="7" t="s">
        <v>89</v>
      </c>
      <c r="K25" s="1" t="s">
        <v>88</v>
      </c>
      <c r="Q25" s="1" t="s">
        <v>60</v>
      </c>
      <c r="AA25" s="7"/>
    </row>
    <row r="26" spans="1:27" ht="26" x14ac:dyDescent="0.35">
      <c r="A26" s="15" t="s">
        <v>33</v>
      </c>
      <c r="B26" s="15"/>
      <c r="C26" s="15"/>
      <c r="D26" s="15"/>
      <c r="E26" s="15"/>
      <c r="F26" s="7" t="s">
        <v>90</v>
      </c>
      <c r="K26" s="1" t="s">
        <v>82</v>
      </c>
      <c r="Q26" s="1" t="s">
        <v>83</v>
      </c>
      <c r="AA26" s="7"/>
    </row>
    <row r="27" spans="1:27" ht="26" customHeight="1" x14ac:dyDescent="0.5">
      <c r="A27" s="2" t="s">
        <v>34</v>
      </c>
      <c r="B27" s="3"/>
      <c r="C27" s="3"/>
      <c r="D27" s="3"/>
      <c r="E27" s="3"/>
      <c r="F27" s="4"/>
      <c r="G27" s="3"/>
      <c r="H27" s="3"/>
      <c r="I27" s="3"/>
      <c r="J27" s="3"/>
      <c r="K27" s="4"/>
      <c r="L27" s="3"/>
      <c r="M27" s="3"/>
      <c r="N27" s="3"/>
      <c r="O27" s="3"/>
      <c r="P27" s="3"/>
      <c r="Q27" s="4"/>
      <c r="R27" s="3"/>
      <c r="S27" s="3"/>
      <c r="T27" s="3"/>
      <c r="U27" s="3"/>
      <c r="V27" s="3"/>
      <c r="W27" s="3"/>
      <c r="X27" s="3"/>
      <c r="Y27" s="3"/>
      <c r="Z27" s="3"/>
      <c r="AA27" s="7"/>
    </row>
    <row r="28" spans="1:27" ht="26" x14ac:dyDescent="0.35">
      <c r="A28" s="15" t="s">
        <v>35</v>
      </c>
      <c r="B28" s="15"/>
      <c r="C28" s="15"/>
      <c r="D28" s="15"/>
      <c r="E28" s="15"/>
      <c r="F28" s="1" t="s">
        <v>91</v>
      </c>
      <c r="K28" s="1"/>
      <c r="Q28" s="1"/>
      <c r="AA28" s="7"/>
    </row>
    <row r="29" spans="1:27" ht="26" x14ac:dyDescent="0.35">
      <c r="A29" s="15" t="s">
        <v>36</v>
      </c>
      <c r="B29" s="15"/>
      <c r="C29" s="15"/>
      <c r="D29" s="15"/>
      <c r="E29" s="15"/>
      <c r="F29" s="8" t="s">
        <v>93</v>
      </c>
      <c r="K29" s="1" t="s">
        <v>92</v>
      </c>
      <c r="Q29" s="1" t="s">
        <v>60</v>
      </c>
      <c r="AA29" s="7"/>
    </row>
    <row r="30" spans="1:27" ht="26" x14ac:dyDescent="0.35">
      <c r="A30" s="15" t="s">
        <v>37</v>
      </c>
      <c r="B30" s="15"/>
      <c r="C30" s="15"/>
      <c r="D30" s="15"/>
      <c r="E30" s="15"/>
      <c r="F30" s="1" t="s">
        <v>94</v>
      </c>
      <c r="K30" s="1" t="s">
        <v>95</v>
      </c>
      <c r="Q30" s="1" t="s">
        <v>60</v>
      </c>
      <c r="AA30" s="7"/>
    </row>
    <row r="31" spans="1:27" ht="21" x14ac:dyDescent="0.5">
      <c r="A31" s="2" t="s">
        <v>38</v>
      </c>
      <c r="B31" s="3"/>
      <c r="C31" s="3"/>
      <c r="D31" s="3"/>
      <c r="E31" s="3"/>
      <c r="F31" s="4"/>
      <c r="G31" s="3"/>
      <c r="H31" s="3"/>
      <c r="I31" s="3"/>
      <c r="J31" s="3"/>
      <c r="K31" s="4"/>
      <c r="L31" s="3"/>
      <c r="M31" s="3"/>
      <c r="N31" s="3"/>
      <c r="O31" s="3"/>
      <c r="P31" s="3"/>
      <c r="Q31" s="4"/>
      <c r="R31" s="3"/>
      <c r="S31" s="3"/>
      <c r="T31" s="3"/>
      <c r="U31" s="3"/>
      <c r="V31" s="3"/>
      <c r="W31" s="3"/>
      <c r="X31" s="3"/>
      <c r="Y31" s="3"/>
      <c r="Z31" s="3"/>
      <c r="AA31" s="7"/>
    </row>
    <row r="32" spans="1:27" ht="26" x14ac:dyDescent="0.35">
      <c r="A32" s="15" t="s">
        <v>39</v>
      </c>
      <c r="B32" s="15"/>
      <c r="C32" s="15"/>
      <c r="D32" s="15"/>
      <c r="E32" s="15"/>
      <c r="F32" s="1" t="s">
        <v>97</v>
      </c>
      <c r="K32" s="1" t="s">
        <v>96</v>
      </c>
      <c r="Q32" s="1" t="s">
        <v>60</v>
      </c>
      <c r="AA32" s="7"/>
    </row>
    <row r="33" spans="1:27" ht="26" x14ac:dyDescent="0.35">
      <c r="A33" s="15" t="s">
        <v>40</v>
      </c>
      <c r="B33" s="15"/>
      <c r="C33" s="15"/>
      <c r="D33" s="15"/>
      <c r="E33" s="15"/>
      <c r="F33" s="1" t="s">
        <v>99</v>
      </c>
      <c r="K33" s="1" t="s">
        <v>98</v>
      </c>
      <c r="Q33" s="1" t="s">
        <v>60</v>
      </c>
      <c r="AA33" s="7"/>
    </row>
    <row r="34" spans="1:27" ht="26" x14ac:dyDescent="0.35">
      <c r="A34" s="15" t="s">
        <v>41</v>
      </c>
      <c r="B34" s="15"/>
      <c r="C34" s="15"/>
      <c r="D34" s="15"/>
      <c r="E34" s="15"/>
      <c r="F34" s="7" t="s">
        <v>101</v>
      </c>
      <c r="K34" s="1" t="s">
        <v>100</v>
      </c>
      <c r="Q34" s="1" t="s">
        <v>60</v>
      </c>
      <c r="AA34" s="7"/>
    </row>
    <row r="35" spans="1:27" ht="21" x14ac:dyDescent="0.5">
      <c r="A35" s="2" t="s">
        <v>190</v>
      </c>
      <c r="B35" s="3"/>
      <c r="C35" s="3"/>
      <c r="D35" s="3"/>
      <c r="E35" s="3"/>
      <c r="F35" s="4"/>
      <c r="G35" s="3"/>
      <c r="H35" s="3"/>
      <c r="I35" s="3"/>
      <c r="J35" s="3"/>
      <c r="K35" s="4"/>
      <c r="L35" s="3"/>
      <c r="M35" s="3"/>
      <c r="N35" s="3"/>
      <c r="O35" s="3"/>
      <c r="P35" s="3"/>
      <c r="Q35" s="4"/>
      <c r="R35" s="3"/>
      <c r="S35" s="3"/>
      <c r="T35" s="3"/>
      <c r="U35" s="3"/>
      <c r="V35" s="3"/>
      <c r="W35" s="3"/>
      <c r="X35" s="3"/>
      <c r="Y35" s="3"/>
      <c r="Z35" s="3"/>
      <c r="AA35" s="7"/>
    </row>
    <row r="36" spans="1:27" ht="26" x14ac:dyDescent="0.35">
      <c r="A36" s="15" t="s">
        <v>42</v>
      </c>
      <c r="B36" s="15"/>
      <c r="C36" s="15"/>
      <c r="D36" s="15"/>
      <c r="E36" s="15"/>
      <c r="F36" s="1" t="s">
        <v>102</v>
      </c>
      <c r="K36" s="1" t="s">
        <v>103</v>
      </c>
      <c r="Q36" s="1" t="s">
        <v>104</v>
      </c>
      <c r="AA36" s="7"/>
    </row>
    <row r="37" spans="1:27" ht="26" x14ac:dyDescent="0.35">
      <c r="A37" s="15" t="s">
        <v>43</v>
      </c>
      <c r="B37" s="15"/>
      <c r="C37" s="15"/>
      <c r="D37" s="15"/>
      <c r="E37" s="15"/>
      <c r="F37" s="1" t="s">
        <v>105</v>
      </c>
      <c r="K37" s="1" t="s">
        <v>106</v>
      </c>
      <c r="Q37" s="1" t="s">
        <v>104</v>
      </c>
      <c r="AA37" s="7"/>
    </row>
    <row r="38" spans="1:27" ht="26" x14ac:dyDescent="0.35">
      <c r="A38" s="15" t="s">
        <v>44</v>
      </c>
      <c r="B38" s="15"/>
      <c r="C38" s="15"/>
      <c r="D38" s="15"/>
      <c r="E38" s="15"/>
      <c r="F38" s="1" t="s">
        <v>107</v>
      </c>
      <c r="K38" s="1" t="s">
        <v>108</v>
      </c>
      <c r="Q38" s="1" t="s">
        <v>104</v>
      </c>
      <c r="AA38" s="7"/>
    </row>
    <row r="39" spans="1:27" ht="26" x14ac:dyDescent="0.35">
      <c r="A39" s="15" t="s">
        <v>45</v>
      </c>
      <c r="B39" s="15"/>
      <c r="C39" s="15"/>
      <c r="D39" s="15"/>
      <c r="E39" s="15"/>
      <c r="F39" s="1" t="s">
        <v>109</v>
      </c>
      <c r="K39" s="1" t="s">
        <v>110</v>
      </c>
      <c r="Q39" s="1" t="s">
        <v>111</v>
      </c>
      <c r="AA39" s="7"/>
    </row>
    <row r="40" spans="1:27" ht="26" x14ac:dyDescent="0.35">
      <c r="A40" s="15" t="s">
        <v>46</v>
      </c>
      <c r="B40" s="15"/>
      <c r="C40" s="15"/>
      <c r="D40" s="15"/>
      <c r="E40" s="15"/>
      <c r="F40" s="1" t="s">
        <v>112</v>
      </c>
      <c r="K40" s="1" t="s">
        <v>113</v>
      </c>
      <c r="Q40" s="1" t="s">
        <v>114</v>
      </c>
      <c r="AA40" s="7"/>
    </row>
    <row r="41" spans="1:27" ht="26" x14ac:dyDescent="0.35">
      <c r="A41" s="15" t="s">
        <v>47</v>
      </c>
      <c r="B41" s="15"/>
      <c r="C41" s="15"/>
      <c r="D41" s="15"/>
      <c r="E41" s="15"/>
      <c r="F41" s="1" t="s">
        <v>115</v>
      </c>
      <c r="K41" s="1" t="s">
        <v>116</v>
      </c>
      <c r="Q41" s="1" t="s">
        <v>111</v>
      </c>
      <c r="AA41" s="7"/>
    </row>
    <row r="42" spans="1:27" ht="26" x14ac:dyDescent="0.35">
      <c r="A42" s="15" t="s">
        <v>48</v>
      </c>
      <c r="B42" s="15"/>
      <c r="C42" s="15"/>
      <c r="D42" s="15"/>
      <c r="E42" s="15"/>
      <c r="F42" s="1" t="s">
        <v>117</v>
      </c>
      <c r="K42" s="1" t="s">
        <v>118</v>
      </c>
      <c r="Q42" s="1" t="s">
        <v>111</v>
      </c>
      <c r="AA42" s="7"/>
    </row>
  </sheetData>
  <mergeCells count="34">
    <mergeCell ref="A13:E13"/>
    <mergeCell ref="A2:E2"/>
    <mergeCell ref="A3:E3"/>
    <mergeCell ref="A4:E4"/>
    <mergeCell ref="A6:E6"/>
    <mergeCell ref="A7:E7"/>
    <mergeCell ref="A8:E8"/>
    <mergeCell ref="A9:E9"/>
    <mergeCell ref="A10:E10"/>
    <mergeCell ref="A12:E12"/>
    <mergeCell ref="A14:E14"/>
    <mergeCell ref="A16:E16"/>
    <mergeCell ref="A17:E17"/>
    <mergeCell ref="A18:E18"/>
    <mergeCell ref="A19:E19"/>
    <mergeCell ref="A20:E20"/>
    <mergeCell ref="A21:E21"/>
    <mergeCell ref="A23:E23"/>
    <mergeCell ref="A24:E24"/>
    <mergeCell ref="A25:E25"/>
    <mergeCell ref="A26:E26"/>
    <mergeCell ref="A28:E28"/>
    <mergeCell ref="A29:E29"/>
    <mergeCell ref="A30:E30"/>
    <mergeCell ref="A32:E32"/>
    <mergeCell ref="A40:E40"/>
    <mergeCell ref="A41:E41"/>
    <mergeCell ref="A42:E42"/>
    <mergeCell ref="A33:E33"/>
    <mergeCell ref="A34:E34"/>
    <mergeCell ref="A36:E36"/>
    <mergeCell ref="A37:E37"/>
    <mergeCell ref="A38:E38"/>
    <mergeCell ref="A39:E3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B640-79A4-42D7-86D9-4923429BF5C6}">
  <dimension ref="A1:AA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17.36328125" customWidth="1"/>
    <col min="5" max="5" width="18.6328125" customWidth="1"/>
    <col min="9" max="9" width="12" customWidth="1"/>
    <col min="10" max="10" width="26.1796875" customWidth="1"/>
    <col min="11" max="15" width="12" customWidth="1"/>
    <col min="16" max="16" width="3" customWidth="1"/>
    <col min="17" max="18" width="12" customWidth="1"/>
  </cols>
  <sheetData>
    <row r="1" spans="1:27" ht="21" x14ac:dyDescent="0.5">
      <c r="A1" s="2" t="s">
        <v>10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  <c r="AA1" s="11"/>
    </row>
    <row r="2" spans="1:27" ht="25.5" customHeight="1" x14ac:dyDescent="0.35">
      <c r="A2" s="16" t="s">
        <v>8</v>
      </c>
      <c r="B2" s="16"/>
      <c r="C2" s="16"/>
      <c r="D2" s="16"/>
      <c r="E2" s="16"/>
      <c r="F2" s="1" t="s">
        <v>50</v>
      </c>
      <c r="K2" s="1" t="s">
        <v>0</v>
      </c>
      <c r="L2" s="6"/>
      <c r="M2" s="6"/>
      <c r="N2" s="6"/>
      <c r="O2" s="6"/>
      <c r="P2" s="6"/>
      <c r="Q2" s="1" t="s">
        <v>1</v>
      </c>
      <c r="R2" s="6"/>
      <c r="AA2" s="7"/>
    </row>
    <row r="5" spans="1:27" x14ac:dyDescent="0.35">
      <c r="D5" s="12">
        <v>44166</v>
      </c>
      <c r="E5" s="12">
        <v>44348</v>
      </c>
      <c r="F5" s="12">
        <v>44531</v>
      </c>
      <c r="G5" s="12">
        <v>44713</v>
      </c>
      <c r="H5" s="12">
        <v>44896</v>
      </c>
      <c r="I5" s="12">
        <v>45078</v>
      </c>
      <c r="J5" s="12">
        <v>45261</v>
      </c>
    </row>
    <row r="6" spans="1:27" x14ac:dyDescent="0.35">
      <c r="A6" t="s">
        <v>124</v>
      </c>
      <c r="D6" s="13"/>
      <c r="E6" s="13"/>
      <c r="F6" s="13"/>
      <c r="G6" s="13"/>
      <c r="H6" s="13"/>
      <c r="I6" s="13"/>
      <c r="J6" s="13"/>
    </row>
    <row r="8" spans="1:27" x14ac:dyDescent="0.35">
      <c r="A8" t="s">
        <v>123</v>
      </c>
      <c r="D8" s="13"/>
      <c r="E8" s="13"/>
      <c r="F8" s="13"/>
      <c r="G8" s="13"/>
      <c r="H8" s="13"/>
      <c r="I8" s="13"/>
      <c r="J8" s="13"/>
    </row>
    <row r="10" spans="1:27" x14ac:dyDescent="0.35">
      <c r="A10" t="s">
        <v>49</v>
      </c>
      <c r="D10" t="e">
        <f>(D6/D8)*100</f>
        <v>#DIV/0!</v>
      </c>
      <c r="E10" t="e">
        <f t="shared" ref="E10:J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  <c r="J10" t="e">
        <f t="shared" si="0"/>
        <v>#DIV/0!</v>
      </c>
    </row>
    <row r="12" spans="1:27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1DBA-4FF0-470F-808C-7E4CE215E0DF}">
  <dimension ref="A1:AA11"/>
  <sheetViews>
    <sheetView workbookViewId="0">
      <selection activeCell="D5" sqref="D5:R9"/>
    </sheetView>
  </sheetViews>
  <sheetFormatPr defaultRowHeight="14.5" x14ac:dyDescent="0.35"/>
  <cols>
    <col min="1" max="1" width="12.08984375" customWidth="1"/>
    <col min="5" max="5" width="18.453125" customWidth="1"/>
    <col min="9" max="9" width="12" customWidth="1"/>
    <col min="10" max="10" width="20" customWidth="1"/>
    <col min="11" max="14" width="12" customWidth="1"/>
    <col min="15" max="15" width="11.90625" customWidth="1"/>
    <col min="16" max="16" width="81" hidden="1" customWidth="1"/>
    <col min="17" max="18" width="12" customWidth="1"/>
  </cols>
  <sheetData>
    <row r="1" spans="1:27" ht="21" x14ac:dyDescent="0.5">
      <c r="A1" s="2" t="s">
        <v>10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  <c r="AA1" s="11"/>
    </row>
    <row r="2" spans="1:27" ht="26" customHeight="1" x14ac:dyDescent="0.35">
      <c r="A2" s="17" t="s">
        <v>9</v>
      </c>
      <c r="B2" s="17"/>
      <c r="C2" s="17"/>
      <c r="D2" s="17"/>
      <c r="E2" s="17"/>
      <c r="F2" s="1" t="s">
        <v>2</v>
      </c>
      <c r="K2" s="1" t="s">
        <v>3</v>
      </c>
      <c r="L2" s="6"/>
      <c r="M2" s="6"/>
      <c r="N2" s="6"/>
      <c r="O2" s="6"/>
      <c r="P2" s="6"/>
      <c r="Q2" s="1" t="s">
        <v>4</v>
      </c>
      <c r="R2" s="6"/>
      <c r="AA2" s="7"/>
    </row>
    <row r="4" spans="1:27" x14ac:dyDescent="0.35">
      <c r="D4" s="12">
        <v>44105</v>
      </c>
      <c r="E4" s="12">
        <v>44136</v>
      </c>
      <c r="F4" s="12">
        <v>44166</v>
      </c>
      <c r="G4" s="12">
        <v>44197</v>
      </c>
      <c r="H4" s="12">
        <v>44228</v>
      </c>
      <c r="I4" s="12">
        <v>44256</v>
      </c>
      <c r="J4" s="12">
        <v>44287</v>
      </c>
      <c r="K4" s="12">
        <v>44317</v>
      </c>
      <c r="L4" s="12">
        <v>44348</v>
      </c>
      <c r="M4" s="12">
        <v>44378</v>
      </c>
      <c r="N4" s="12">
        <v>44409</v>
      </c>
      <c r="O4" s="12">
        <v>44440</v>
      </c>
      <c r="P4" s="12">
        <v>44470</v>
      </c>
      <c r="Q4" s="12">
        <v>44501</v>
      </c>
      <c r="R4" s="12">
        <v>44531</v>
      </c>
    </row>
    <row r="5" spans="1:27" x14ac:dyDescent="0.35">
      <c r="A5" t="s">
        <v>127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7" spans="1:27" x14ac:dyDescent="0.35">
      <c r="A7" t="s">
        <v>128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9" spans="1:27" x14ac:dyDescent="0.35">
      <c r="A9" t="s">
        <v>49</v>
      </c>
      <c r="D9" t="e">
        <f>(D5/D7)*100</f>
        <v>#DIV/0!</v>
      </c>
      <c r="E9" t="e">
        <f t="shared" ref="E9:R9" si="0">(E5/E7)*100</f>
        <v>#DIV/0!</v>
      </c>
      <c r="F9" t="e">
        <f t="shared" si="0"/>
        <v>#DIV/0!</v>
      </c>
      <c r="G9" t="e">
        <f t="shared" si="0"/>
        <v>#DIV/0!</v>
      </c>
      <c r="H9" t="e">
        <f t="shared" si="0"/>
        <v>#DIV/0!</v>
      </c>
      <c r="I9" t="e">
        <f t="shared" si="0"/>
        <v>#DIV/0!</v>
      </c>
      <c r="J9" t="e">
        <f t="shared" si="0"/>
        <v>#DIV/0!</v>
      </c>
      <c r="K9" t="e">
        <f t="shared" si="0"/>
        <v>#DIV/0!</v>
      </c>
      <c r="L9" t="e">
        <f t="shared" si="0"/>
        <v>#DIV/0!</v>
      </c>
      <c r="M9" t="e">
        <f t="shared" si="0"/>
        <v>#DIV/0!</v>
      </c>
      <c r="N9" t="e">
        <f t="shared" si="0"/>
        <v>#DIV/0!</v>
      </c>
      <c r="O9" t="e">
        <f t="shared" si="0"/>
        <v>#DIV/0!</v>
      </c>
      <c r="P9" t="e">
        <f t="shared" si="0"/>
        <v>#DIV/0!</v>
      </c>
      <c r="Q9" t="e">
        <f t="shared" si="0"/>
        <v>#DIV/0!</v>
      </c>
      <c r="R9" t="e">
        <f t="shared" si="0"/>
        <v>#DIV/0!</v>
      </c>
    </row>
    <row r="11" spans="1:27" x14ac:dyDescent="0.35">
      <c r="A11" t="s">
        <v>125</v>
      </c>
      <c r="C11" s="13"/>
      <c r="D11" t="s">
        <v>126</v>
      </c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A5F7-8AC0-4651-A7D9-004B9C5FB942}">
  <dimension ref="A1:Z11"/>
  <sheetViews>
    <sheetView workbookViewId="0">
      <selection activeCell="A4" sqref="A4:D11"/>
    </sheetView>
  </sheetViews>
  <sheetFormatPr defaultRowHeight="14.5" x14ac:dyDescent="0.35"/>
  <cols>
    <col min="1" max="1" width="12.08984375" customWidth="1"/>
    <col min="3" max="3" width="27.26953125" customWidth="1"/>
    <col min="4" max="4" width="10.453125" bestFit="1" customWidth="1"/>
    <col min="5" max="5" width="10.54296875" customWidth="1"/>
    <col min="9" max="9" width="12" customWidth="1"/>
    <col min="10" max="10" width="41.90625" customWidth="1"/>
    <col min="11" max="15" width="12" customWidth="1"/>
    <col min="16" max="16" width="19" customWidth="1"/>
    <col min="17" max="18" width="12" customWidth="1"/>
  </cols>
  <sheetData>
    <row r="1" spans="1:26" ht="21" x14ac:dyDescent="0.5">
      <c r="A1" s="2" t="s">
        <v>12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35">
      <c r="A2" s="17" t="s">
        <v>13</v>
      </c>
      <c r="B2" s="17"/>
      <c r="C2" s="17"/>
      <c r="D2" s="17"/>
      <c r="E2" s="17"/>
      <c r="F2" s="1" t="s">
        <v>51</v>
      </c>
      <c r="K2" s="1" t="s">
        <v>132</v>
      </c>
      <c r="Q2" s="1" t="s">
        <v>130</v>
      </c>
    </row>
    <row r="4" spans="1:26" x14ac:dyDescent="0.35">
      <c r="D4" s="14">
        <v>2020</v>
      </c>
      <c r="E4" s="14">
        <v>2021</v>
      </c>
      <c r="F4" s="14">
        <v>2022</v>
      </c>
      <c r="G4" s="14">
        <v>2023</v>
      </c>
      <c r="H4" s="14">
        <v>2024</v>
      </c>
      <c r="I4" s="14">
        <v>2025</v>
      </c>
    </row>
    <row r="5" spans="1:26" x14ac:dyDescent="0.35">
      <c r="A5" t="s">
        <v>131</v>
      </c>
      <c r="D5" s="13"/>
      <c r="E5" s="13"/>
      <c r="F5" s="13"/>
      <c r="G5" s="13"/>
      <c r="H5" s="13"/>
      <c r="I5" s="13"/>
    </row>
    <row r="7" spans="1:26" x14ac:dyDescent="0.35">
      <c r="A7" t="s">
        <v>133</v>
      </c>
      <c r="D7" s="13"/>
      <c r="E7" s="13"/>
      <c r="F7" s="13"/>
      <c r="G7" s="13"/>
      <c r="H7" s="13"/>
      <c r="I7" s="13"/>
    </row>
    <row r="9" spans="1:26" x14ac:dyDescent="0.35">
      <c r="A9" t="s">
        <v>49</v>
      </c>
      <c r="D9" t="e">
        <f>(D5/D7)*100</f>
        <v>#DIV/0!</v>
      </c>
      <c r="E9" t="e">
        <f>(E5/E7)*100</f>
        <v>#DIV/0!</v>
      </c>
      <c r="F9" t="e">
        <f t="shared" ref="F9:I9" si="0">(F5/F7)*100</f>
        <v>#DIV/0!</v>
      </c>
      <c r="G9" t="e">
        <f t="shared" si="0"/>
        <v>#DIV/0!</v>
      </c>
      <c r="H9" t="e">
        <f t="shared" si="0"/>
        <v>#DIV/0!</v>
      </c>
      <c r="I9" t="e">
        <f t="shared" si="0"/>
        <v>#DIV/0!</v>
      </c>
    </row>
    <row r="11" spans="1:26" x14ac:dyDescent="0.35">
      <c r="A11" t="s">
        <v>125</v>
      </c>
      <c r="C11" s="13"/>
      <c r="D11" t="s">
        <v>126</v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8C99-10B5-42E1-A6D2-3AA0CCA6B031}">
  <dimension ref="A1:Z12"/>
  <sheetViews>
    <sheetView workbookViewId="0">
      <selection activeCell="A5" sqref="A5:J12"/>
    </sheetView>
  </sheetViews>
  <sheetFormatPr defaultRowHeight="14.5" x14ac:dyDescent="0.35"/>
  <cols>
    <col min="1" max="1" width="12.08984375" customWidth="1"/>
    <col min="5" max="5" width="20" customWidth="1"/>
    <col min="9" max="9" width="12" customWidth="1"/>
    <col min="10" max="10" width="19.81640625" customWidth="1"/>
    <col min="11" max="15" width="12" customWidth="1"/>
    <col min="16" max="16" width="8.984375E-2" customWidth="1"/>
    <col min="17" max="18" width="12" customWidth="1"/>
  </cols>
  <sheetData>
    <row r="1" spans="1:26" ht="21" x14ac:dyDescent="0.5">
      <c r="A1" s="2" t="s">
        <v>10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35">
      <c r="A2" s="17" t="s">
        <v>11</v>
      </c>
      <c r="B2" s="17"/>
      <c r="C2" s="17"/>
      <c r="D2" s="17"/>
      <c r="E2" s="17"/>
      <c r="F2" s="1" t="s">
        <v>5</v>
      </c>
      <c r="K2" s="1" t="s">
        <v>6</v>
      </c>
      <c r="Q2" s="1" t="s">
        <v>7</v>
      </c>
    </row>
    <row r="5" spans="1:26" x14ac:dyDescent="0.35">
      <c r="D5" s="12">
        <v>44166</v>
      </c>
      <c r="E5" s="12">
        <v>44287</v>
      </c>
      <c r="F5" s="12">
        <v>44409</v>
      </c>
      <c r="G5" s="12">
        <v>44531</v>
      </c>
      <c r="H5" s="12">
        <v>44652</v>
      </c>
      <c r="I5" s="12">
        <v>44774</v>
      </c>
      <c r="J5" s="12">
        <v>44896</v>
      </c>
    </row>
    <row r="6" spans="1:26" x14ac:dyDescent="0.35">
      <c r="A6" t="s">
        <v>129</v>
      </c>
      <c r="D6" s="13"/>
      <c r="E6" s="13"/>
      <c r="F6" s="13"/>
      <c r="G6" s="13"/>
      <c r="H6" s="13"/>
      <c r="I6" s="13"/>
      <c r="J6" s="13"/>
    </row>
    <row r="8" spans="1:26" x14ac:dyDescent="0.35">
      <c r="A8" t="s">
        <v>123</v>
      </c>
      <c r="D8" s="13"/>
      <c r="E8" s="13"/>
      <c r="F8" s="13"/>
      <c r="G8" s="13"/>
      <c r="H8" s="13"/>
      <c r="I8" s="13"/>
      <c r="J8" s="13"/>
    </row>
    <row r="10" spans="1:26" x14ac:dyDescent="0.35">
      <c r="A10" t="s">
        <v>49</v>
      </c>
      <c r="D10" t="e">
        <f>(D6/D8)*100</f>
        <v>#DIV/0!</v>
      </c>
      <c r="E10" t="e">
        <f t="shared" ref="E10:J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  <c r="J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A6A1-CCD4-4841-BA1F-F410ACAF4952}">
  <dimension ref="A1:Y12"/>
  <sheetViews>
    <sheetView workbookViewId="0">
      <selection sqref="A1:Y1"/>
    </sheetView>
  </sheetViews>
  <sheetFormatPr defaultRowHeight="14.5" x14ac:dyDescent="0.35"/>
  <cols>
    <col min="1" max="1" width="12.08984375" customWidth="1"/>
    <col min="5" max="5" width="23.453125" customWidth="1"/>
    <col min="9" max="9" width="12" customWidth="1"/>
    <col min="10" max="10" width="41.90625" customWidth="1"/>
    <col min="11" max="17" width="12" customWidth="1"/>
  </cols>
  <sheetData>
    <row r="1" spans="1:25" ht="21" x14ac:dyDescent="0.5">
      <c r="A1" s="2" t="s">
        <v>12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9" t="s">
        <v>120</v>
      </c>
      <c r="Q1" s="2"/>
      <c r="R1" s="2"/>
      <c r="S1" s="2"/>
      <c r="T1" s="2"/>
      <c r="U1" s="2"/>
      <c r="V1" s="2"/>
      <c r="W1" s="2"/>
      <c r="X1" s="2"/>
      <c r="Y1" s="2"/>
    </row>
    <row r="2" spans="1:25" ht="18.5" x14ac:dyDescent="0.35">
      <c r="A2" s="18" t="s">
        <v>14</v>
      </c>
      <c r="B2" s="18"/>
      <c r="C2" s="18"/>
      <c r="D2" s="18"/>
      <c r="E2" s="18"/>
      <c r="F2" s="1" t="s">
        <v>54</v>
      </c>
      <c r="K2" s="1" t="s">
        <v>55</v>
      </c>
      <c r="P2" s="1" t="s">
        <v>130</v>
      </c>
    </row>
    <row r="5" spans="1:25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5" x14ac:dyDescent="0.35">
      <c r="A6" t="s">
        <v>134</v>
      </c>
      <c r="D6" s="13"/>
      <c r="E6" s="13"/>
      <c r="F6" s="13"/>
      <c r="G6" s="13"/>
      <c r="H6" s="13"/>
      <c r="I6" s="13"/>
    </row>
    <row r="8" spans="1:25" x14ac:dyDescent="0.35">
      <c r="A8" t="s">
        <v>133</v>
      </c>
      <c r="D8" s="13"/>
      <c r="E8" s="13"/>
      <c r="F8" s="13"/>
      <c r="G8" s="13"/>
      <c r="H8" s="13"/>
      <c r="I8" s="13"/>
    </row>
    <row r="10" spans="1:25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5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8132-6AAC-4C71-ADB8-47F660A0FE8B}">
  <dimension ref="A1:X12"/>
  <sheetViews>
    <sheetView workbookViewId="0">
      <selection sqref="A1:XFD1"/>
    </sheetView>
  </sheetViews>
  <sheetFormatPr defaultRowHeight="14.5" x14ac:dyDescent="0.35"/>
  <cols>
    <col min="1" max="1" width="12.08984375" customWidth="1"/>
    <col min="3" max="3" width="44" customWidth="1"/>
    <col min="4" max="4" width="20.81640625" customWidth="1"/>
    <col min="8" max="8" width="12" customWidth="1"/>
    <col min="9" max="9" width="41.90625" customWidth="1"/>
    <col min="10" max="13" width="12" customWidth="1"/>
    <col min="14" max="14" width="94.54296875" customWidth="1"/>
    <col min="15" max="15" width="81" customWidth="1"/>
    <col min="16" max="17" width="12" customWidth="1"/>
  </cols>
  <sheetData>
    <row r="1" spans="1:24" ht="21" x14ac:dyDescent="0.5">
      <c r="A1" s="2" t="s">
        <v>12</v>
      </c>
      <c r="B1" s="3"/>
      <c r="C1" s="3"/>
      <c r="D1" s="3"/>
      <c r="E1" s="9" t="s">
        <v>49</v>
      </c>
      <c r="F1" s="2"/>
      <c r="G1" s="2"/>
      <c r="H1" s="2"/>
      <c r="I1" s="2"/>
      <c r="J1" s="9" t="s">
        <v>119</v>
      </c>
      <c r="K1" s="2"/>
      <c r="L1" s="2"/>
      <c r="M1" s="2"/>
      <c r="N1" s="2"/>
      <c r="O1" s="9" t="s">
        <v>120</v>
      </c>
      <c r="P1" s="2"/>
      <c r="Q1" s="2"/>
      <c r="R1" s="2"/>
      <c r="S1" s="2"/>
      <c r="T1" s="2"/>
      <c r="U1" s="2"/>
      <c r="V1" s="2"/>
      <c r="W1" s="2"/>
      <c r="X1" s="2"/>
    </row>
    <row r="2" spans="1:24" ht="18.5" x14ac:dyDescent="0.35">
      <c r="A2" s="18" t="s">
        <v>15</v>
      </c>
      <c r="B2" s="18"/>
      <c r="C2" s="18"/>
      <c r="D2" s="18"/>
      <c r="E2" s="1" t="s">
        <v>57</v>
      </c>
      <c r="J2" s="1" t="s">
        <v>58</v>
      </c>
      <c r="O2" s="1" t="s">
        <v>59</v>
      </c>
      <c r="R2" s="10" t="s">
        <v>121</v>
      </c>
    </row>
    <row r="5" spans="1:24" x14ac:dyDescent="0.35">
      <c r="D5" s="12">
        <v>44287</v>
      </c>
      <c r="E5" s="12">
        <v>44409</v>
      </c>
      <c r="F5" s="12">
        <v>44531</v>
      </c>
      <c r="G5" s="12">
        <v>44652</v>
      </c>
      <c r="H5" s="12">
        <v>44774</v>
      </c>
      <c r="I5" s="12">
        <v>44896</v>
      </c>
    </row>
    <row r="6" spans="1:24" x14ac:dyDescent="0.35">
      <c r="A6" t="s">
        <v>135</v>
      </c>
      <c r="D6" s="13"/>
      <c r="E6" s="13"/>
      <c r="F6" s="13"/>
      <c r="G6" s="13"/>
      <c r="H6" s="13"/>
      <c r="I6" s="13"/>
    </row>
    <row r="8" spans="1:24" x14ac:dyDescent="0.35">
      <c r="A8" t="s">
        <v>136</v>
      </c>
      <c r="D8" s="13"/>
      <c r="E8" s="13"/>
      <c r="F8" s="13"/>
      <c r="G8" s="13"/>
      <c r="H8" s="13"/>
      <c r="I8" s="13"/>
    </row>
    <row r="10" spans="1:24" x14ac:dyDescent="0.35">
      <c r="A10" t="s">
        <v>49</v>
      </c>
      <c r="D10" t="e">
        <f t="shared" ref="D10:I10" si="0">(D6/D8)*100</f>
        <v>#DIV/0!</v>
      </c>
      <c r="E10" t="e">
        <f t="shared" si="0"/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4" x14ac:dyDescent="0.35">
      <c r="A12" t="s">
        <v>125</v>
      </c>
      <c r="C12" s="13"/>
      <c r="D12" t="s">
        <v>126</v>
      </c>
    </row>
  </sheetData>
  <mergeCells count="1"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658B-719D-45DA-8F73-54E07FF8DE35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27.1796875" customWidth="1"/>
    <col min="5" max="5" width="20.7265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35">
      <c r="A2" s="17" t="s">
        <v>16</v>
      </c>
      <c r="B2" s="17"/>
      <c r="C2" s="17"/>
      <c r="D2" s="17"/>
      <c r="E2" s="17"/>
      <c r="F2" s="1" t="s">
        <v>61</v>
      </c>
      <c r="K2" s="1" t="s">
        <v>62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137</v>
      </c>
      <c r="D6" s="13"/>
      <c r="E6" s="13"/>
      <c r="F6" s="13"/>
      <c r="G6" s="13"/>
      <c r="H6" s="13"/>
      <c r="I6" s="13"/>
    </row>
    <row r="8" spans="1:26" x14ac:dyDescent="0.35">
      <c r="A8" t="s">
        <v>138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F57D-F6C2-4624-8C6C-E22FFA1FE515}">
  <dimension ref="A1:Z2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27.1796875" customWidth="1"/>
    <col min="5" max="5" width="20.7265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35">
      <c r="A2" s="18" t="s">
        <v>17</v>
      </c>
      <c r="B2" s="18"/>
      <c r="C2" s="18"/>
      <c r="D2" s="18"/>
      <c r="E2" s="18"/>
      <c r="F2" s="1" t="s">
        <v>63</v>
      </c>
      <c r="K2" s="1" t="s">
        <v>142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139</v>
      </c>
      <c r="D6" s="13"/>
      <c r="E6" s="13"/>
      <c r="F6" s="13"/>
      <c r="G6" s="13"/>
      <c r="H6" s="13"/>
      <c r="I6" s="13"/>
    </row>
    <row r="8" spans="1:26" x14ac:dyDescent="0.35">
      <c r="A8" t="s">
        <v>140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  <row r="15" spans="1:26" x14ac:dyDescent="0.35">
      <c r="D15" s="14">
        <v>2020</v>
      </c>
      <c r="E15" s="14">
        <v>2021</v>
      </c>
      <c r="F15" s="14">
        <v>2022</v>
      </c>
      <c r="G15" s="14">
        <v>2023</v>
      </c>
      <c r="H15" s="14">
        <v>2024</v>
      </c>
      <c r="I15" s="14">
        <v>2025</v>
      </c>
    </row>
    <row r="16" spans="1:26" x14ac:dyDescent="0.35">
      <c r="A16" t="s">
        <v>141</v>
      </c>
      <c r="D16" s="13"/>
      <c r="E16" s="13"/>
      <c r="F16" s="13"/>
      <c r="G16" s="13"/>
      <c r="H16" s="13"/>
      <c r="I16" s="13"/>
    </row>
    <row r="18" spans="1:9" x14ac:dyDescent="0.35">
      <c r="A18" t="s">
        <v>140</v>
      </c>
      <c r="D18" s="13"/>
      <c r="E18" s="13"/>
      <c r="F18" s="13"/>
      <c r="G18" s="13"/>
      <c r="H18" s="13"/>
      <c r="I18" s="13"/>
    </row>
    <row r="20" spans="1:9" x14ac:dyDescent="0.35">
      <c r="A20" t="s">
        <v>49</v>
      </c>
      <c r="D20" t="e">
        <f>(D16/D18)*100</f>
        <v>#DIV/0!</v>
      </c>
      <c r="E20" t="e">
        <f t="shared" ref="E20:I20" si="1">(E16/E18)*100</f>
        <v>#DIV/0!</v>
      </c>
      <c r="F20" t="e">
        <f t="shared" si="1"/>
        <v>#DIV/0!</v>
      </c>
      <c r="G20" t="e">
        <f t="shared" si="1"/>
        <v>#DIV/0!</v>
      </c>
      <c r="H20" t="e">
        <f t="shared" si="1"/>
        <v>#DIV/0!</v>
      </c>
      <c r="I20" t="e">
        <f t="shared" si="1"/>
        <v>#DIV/0!</v>
      </c>
    </row>
    <row r="22" spans="1:9" x14ac:dyDescent="0.35">
      <c r="A22" t="s">
        <v>125</v>
      </c>
      <c r="C22" s="13"/>
      <c r="D2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2237-46C1-4B17-AD39-D862FF8B46CC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5" max="5" width="14.26953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18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x14ac:dyDescent="0.35">
      <c r="A2" s="18" t="s">
        <v>19</v>
      </c>
      <c r="B2" s="18"/>
      <c r="C2" s="18"/>
      <c r="D2" s="18"/>
      <c r="E2" s="18"/>
      <c r="F2" s="1" t="s">
        <v>65</v>
      </c>
      <c r="K2" s="1" t="s">
        <v>122</v>
      </c>
      <c r="Q2" s="1" t="s">
        <v>66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143</v>
      </c>
      <c r="D6" s="13"/>
      <c r="E6" s="13"/>
      <c r="F6" s="13"/>
      <c r="G6" s="13"/>
      <c r="H6" s="13"/>
      <c r="I6" s="13"/>
    </row>
    <row r="8" spans="1:26" x14ac:dyDescent="0.35">
      <c r="A8" t="s">
        <v>144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BDAB-B5DC-4677-BC57-C716107D7D65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24.7265625" customWidth="1"/>
    <col min="5" max="5" width="13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18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x14ac:dyDescent="0.35">
      <c r="A2" s="18" t="s">
        <v>20</v>
      </c>
      <c r="B2" s="18"/>
      <c r="C2" s="18"/>
      <c r="D2" s="18"/>
      <c r="E2" s="18"/>
      <c r="F2" s="1" t="s">
        <v>67</v>
      </c>
      <c r="K2" s="1" t="s">
        <v>68</v>
      </c>
      <c r="Q2" s="1" t="s">
        <v>66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145</v>
      </c>
      <c r="D6" s="13"/>
      <c r="E6" s="13"/>
      <c r="F6" s="13"/>
      <c r="G6" s="13"/>
      <c r="H6" s="13"/>
      <c r="I6" s="13"/>
    </row>
    <row r="8" spans="1:26" x14ac:dyDescent="0.35">
      <c r="A8" t="s">
        <v>146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8B02-EF7F-4F12-AE63-663AF9E5BC84}">
  <dimension ref="A1:Z2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8.90625" customWidth="1"/>
    <col min="5" max="5" width="40.6328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18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x14ac:dyDescent="0.35">
      <c r="A2" s="18" t="s">
        <v>21</v>
      </c>
      <c r="B2" s="18"/>
      <c r="C2" s="18"/>
      <c r="D2" s="18"/>
      <c r="E2" s="18"/>
      <c r="F2" s="1" t="s">
        <v>69</v>
      </c>
      <c r="K2" s="1" t="s">
        <v>70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147</v>
      </c>
      <c r="D6" s="13"/>
      <c r="E6" s="13"/>
      <c r="F6" s="13"/>
      <c r="G6" s="13"/>
      <c r="H6" s="13"/>
      <c r="I6" s="13"/>
    </row>
    <row r="8" spans="1:26" x14ac:dyDescent="0.35">
      <c r="A8" t="s">
        <v>148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  <row r="15" spans="1:26" x14ac:dyDescent="0.35">
      <c r="D15" s="14">
        <v>2020</v>
      </c>
      <c r="E15" s="14">
        <v>2021</v>
      </c>
      <c r="F15" s="14">
        <v>2022</v>
      </c>
      <c r="G15" s="14">
        <v>2023</v>
      </c>
      <c r="H15" s="14">
        <v>2024</v>
      </c>
      <c r="I15" s="14">
        <v>2025</v>
      </c>
    </row>
    <row r="16" spans="1:26" x14ac:dyDescent="0.35">
      <c r="A16" t="s">
        <v>149</v>
      </c>
      <c r="D16" s="13"/>
      <c r="E16" s="13"/>
      <c r="F16" s="13"/>
      <c r="G16" s="13"/>
      <c r="H16" s="13"/>
      <c r="I16" s="13"/>
    </row>
    <row r="18" spans="1:9" x14ac:dyDescent="0.35">
      <c r="A18" t="s">
        <v>150</v>
      </c>
      <c r="D18" s="13"/>
      <c r="E18" s="13"/>
      <c r="F18" s="13"/>
      <c r="G18" s="13"/>
      <c r="H18" s="13"/>
      <c r="I18" s="13"/>
    </row>
    <row r="20" spans="1:9" x14ac:dyDescent="0.35">
      <c r="A20" t="s">
        <v>49</v>
      </c>
      <c r="D20" t="e">
        <f>(D16/D18)*100</f>
        <v>#DIV/0!</v>
      </c>
      <c r="E20" t="e">
        <f t="shared" ref="E20:I20" si="1">(E16/E18)*100</f>
        <v>#DIV/0!</v>
      </c>
      <c r="F20" t="e">
        <f t="shared" si="1"/>
        <v>#DIV/0!</v>
      </c>
      <c r="G20" t="e">
        <f t="shared" si="1"/>
        <v>#DIV/0!</v>
      </c>
      <c r="H20" t="e">
        <f t="shared" si="1"/>
        <v>#DIV/0!</v>
      </c>
      <c r="I20" t="e">
        <f t="shared" si="1"/>
        <v>#DIV/0!</v>
      </c>
    </row>
    <row r="22" spans="1:9" x14ac:dyDescent="0.35">
      <c r="A22" t="s">
        <v>125</v>
      </c>
      <c r="C22" s="13"/>
      <c r="D2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9C1-62A4-4791-B78E-EDF41408384C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31.1796875" customWidth="1"/>
    <col min="5" max="5" width="11.453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x14ac:dyDescent="0.35">
      <c r="A2" s="18" t="s">
        <v>23</v>
      </c>
      <c r="B2" s="18"/>
      <c r="C2" s="18"/>
      <c r="D2" s="18"/>
      <c r="E2" s="18"/>
      <c r="F2" s="7" t="s">
        <v>72</v>
      </c>
      <c r="K2" s="1" t="s">
        <v>71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151</v>
      </c>
      <c r="D6" s="13"/>
      <c r="E6" s="13"/>
      <c r="F6" s="13"/>
      <c r="G6" s="13"/>
      <c r="H6" s="13"/>
      <c r="I6" s="13"/>
    </row>
    <row r="8" spans="1:26" x14ac:dyDescent="0.35">
      <c r="A8" t="s">
        <v>152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754D-DB8A-4774-9544-9163CFD937DB}">
  <dimension ref="A1:Z12"/>
  <sheetViews>
    <sheetView workbookViewId="0">
      <selection activeCell="A5" sqref="A5:I12"/>
    </sheetView>
  </sheetViews>
  <sheetFormatPr defaultRowHeight="14.5" x14ac:dyDescent="0.35"/>
  <cols>
    <col min="1" max="1" width="12.08984375" customWidth="1"/>
    <col min="3" max="3" width="32.1796875" customWidth="1"/>
    <col min="5" max="5" width="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x14ac:dyDescent="0.35">
      <c r="A2" s="18" t="s">
        <v>24</v>
      </c>
      <c r="B2" s="18"/>
      <c r="C2" s="18"/>
      <c r="D2" s="18"/>
      <c r="E2" s="18"/>
      <c r="F2" s="7" t="s">
        <v>74</v>
      </c>
      <c r="K2" s="1" t="s">
        <v>73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153</v>
      </c>
      <c r="D6" s="13"/>
      <c r="E6" s="13"/>
      <c r="F6" s="13"/>
      <c r="G6" s="13"/>
      <c r="H6" s="13"/>
      <c r="I6" s="13"/>
    </row>
    <row r="8" spans="1:26" x14ac:dyDescent="0.35">
      <c r="A8" t="s">
        <v>154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8EE5-EA2A-4B0F-BED5-714545BC2FF4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23.90625" customWidth="1"/>
    <col min="4" max="4" width="7.90625" customWidth="1"/>
    <col min="5" max="5" width="9.81640625" hidden="1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35">
      <c r="A2" s="17" t="s">
        <v>25</v>
      </c>
      <c r="B2" s="17"/>
      <c r="C2" s="17"/>
      <c r="D2" s="17"/>
      <c r="E2" s="17"/>
      <c r="F2" s="7" t="s">
        <v>76</v>
      </c>
      <c r="K2" s="1" t="s">
        <v>75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155</v>
      </c>
      <c r="D6" s="13"/>
      <c r="E6" s="13"/>
      <c r="F6" s="13"/>
      <c r="G6" s="13"/>
      <c r="H6" s="13"/>
      <c r="I6" s="13"/>
    </row>
    <row r="8" spans="1:26" x14ac:dyDescent="0.35">
      <c r="A8" t="s">
        <v>156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C41F-E538-4099-BFEE-8DCA647FCE85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10.54296875" customWidth="1"/>
    <col min="5" max="5" width="18.9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x14ac:dyDescent="0.35">
      <c r="A2" s="18" t="s">
        <v>26</v>
      </c>
      <c r="B2" s="18"/>
      <c r="C2" s="18"/>
      <c r="D2" s="18"/>
      <c r="E2" s="18"/>
      <c r="F2" s="7" t="s">
        <v>78</v>
      </c>
      <c r="K2" s="1" t="s">
        <v>77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157</v>
      </c>
      <c r="D6" s="13"/>
      <c r="E6" s="13"/>
      <c r="F6" s="13"/>
      <c r="G6" s="13"/>
      <c r="H6" s="13"/>
      <c r="I6" s="13"/>
    </row>
    <row r="8" spans="1:26" x14ac:dyDescent="0.35">
      <c r="A8" t="s">
        <v>158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8E52-D28B-4F7F-87FE-113F32E69F08}">
  <dimension ref="A1:Z12"/>
  <sheetViews>
    <sheetView workbookViewId="0">
      <selection activeCell="D5" sqref="D5:I10"/>
    </sheetView>
  </sheetViews>
  <sheetFormatPr defaultRowHeight="14.5" x14ac:dyDescent="0.35"/>
  <cols>
    <col min="1" max="1" width="12.08984375" customWidth="1"/>
    <col min="3" max="3" width="10.54296875" customWidth="1"/>
    <col min="5" max="5" width="18.9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9" t="s">
        <v>27</v>
      </c>
      <c r="B2" s="19"/>
      <c r="C2" s="19"/>
      <c r="D2" s="19"/>
      <c r="E2" s="19"/>
      <c r="F2" s="8" t="s">
        <v>80</v>
      </c>
      <c r="K2" s="1" t="s">
        <v>79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159</v>
      </c>
      <c r="D6" s="13"/>
      <c r="E6" s="13"/>
      <c r="F6" s="13"/>
      <c r="G6" s="13"/>
      <c r="H6" s="13"/>
      <c r="I6" s="13"/>
    </row>
    <row r="8" spans="1:26" x14ac:dyDescent="0.35">
      <c r="A8" t="s">
        <v>160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E2DA-DA3B-485A-B9EC-5E4858735125}">
  <dimension ref="A1:Z12"/>
  <sheetViews>
    <sheetView workbookViewId="0">
      <selection activeCell="A5" sqref="A5:D12"/>
    </sheetView>
  </sheetViews>
  <sheetFormatPr defaultRowHeight="14.5" x14ac:dyDescent="0.35"/>
  <cols>
    <col min="1" max="1" width="12.08984375" customWidth="1"/>
    <col min="3" max="3" width="27.7265625" customWidth="1"/>
    <col min="5" max="5" width="10.5429687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22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9" t="s">
        <v>28</v>
      </c>
      <c r="B2" s="19"/>
      <c r="C2" s="19"/>
      <c r="D2" s="19"/>
      <c r="E2" s="19"/>
      <c r="F2" s="7" t="s">
        <v>74</v>
      </c>
      <c r="K2" s="1" t="s">
        <v>81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153</v>
      </c>
      <c r="D6" s="13"/>
      <c r="E6" s="13"/>
      <c r="F6" s="13"/>
      <c r="G6" s="13"/>
      <c r="H6" s="13"/>
      <c r="I6" s="13"/>
    </row>
    <row r="8" spans="1:26" x14ac:dyDescent="0.35">
      <c r="A8" t="s">
        <v>154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AF2C-B617-4A6E-B698-3E765BE6721B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13.453125" customWidth="1"/>
    <col min="5" max="5" width="3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29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30</v>
      </c>
      <c r="B2" s="18"/>
      <c r="C2" s="18"/>
      <c r="D2" s="18"/>
      <c r="E2" s="18"/>
      <c r="F2" s="7" t="s">
        <v>87</v>
      </c>
      <c r="K2" s="1" t="s">
        <v>82</v>
      </c>
      <c r="Q2" s="1" t="s">
        <v>83</v>
      </c>
    </row>
    <row r="5" spans="1:26" x14ac:dyDescent="0.35">
      <c r="D5" s="14" t="s">
        <v>163</v>
      </c>
      <c r="E5" s="14" t="s">
        <v>164</v>
      </c>
      <c r="F5" s="14" t="s">
        <v>165</v>
      </c>
      <c r="G5" s="14" t="s">
        <v>166</v>
      </c>
      <c r="H5" s="14" t="s">
        <v>167</v>
      </c>
      <c r="I5" s="14" t="s">
        <v>168</v>
      </c>
    </row>
    <row r="6" spans="1:26" x14ac:dyDescent="0.35">
      <c r="A6" t="s">
        <v>161</v>
      </c>
      <c r="D6" s="13"/>
      <c r="E6" s="13"/>
      <c r="F6" s="13"/>
      <c r="G6" s="13"/>
      <c r="H6" s="13"/>
      <c r="I6" s="13"/>
    </row>
    <row r="8" spans="1:26" x14ac:dyDescent="0.35">
      <c r="A8" t="s">
        <v>162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7573-969E-4ECF-BE83-FCB3A5BA0D24}">
  <dimension ref="A1:Z12"/>
  <sheetViews>
    <sheetView workbookViewId="0">
      <selection activeCell="D5" sqref="D5:I10"/>
    </sheetView>
  </sheetViews>
  <sheetFormatPr defaultRowHeight="14.5" x14ac:dyDescent="0.35"/>
  <cols>
    <col min="1" max="1" width="12.08984375" customWidth="1"/>
    <col min="3" max="3" width="13.453125" customWidth="1"/>
    <col min="5" max="5" width="3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29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31</v>
      </c>
      <c r="B2" s="18"/>
      <c r="C2" s="18"/>
      <c r="D2" s="18"/>
      <c r="E2" s="18"/>
      <c r="F2" s="7" t="s">
        <v>84</v>
      </c>
      <c r="K2" s="1" t="s">
        <v>85</v>
      </c>
      <c r="Q2" s="1" t="s">
        <v>86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169</v>
      </c>
      <c r="D6" s="13"/>
      <c r="E6" s="13"/>
      <c r="F6" s="13"/>
      <c r="G6" s="13"/>
      <c r="H6" s="13"/>
      <c r="I6" s="13"/>
    </row>
    <row r="8" spans="1:26" x14ac:dyDescent="0.35">
      <c r="A8" t="s">
        <v>148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3277-54D9-47E6-9ECB-9F3EBB1F112F}">
  <dimension ref="A1:Z12"/>
  <sheetViews>
    <sheetView workbookViewId="0">
      <selection activeCell="A5" sqref="A5:I12"/>
    </sheetView>
  </sheetViews>
  <sheetFormatPr defaultRowHeight="14.5" x14ac:dyDescent="0.35"/>
  <cols>
    <col min="1" max="1" width="12.08984375" customWidth="1"/>
    <col min="3" max="3" width="13.453125" customWidth="1"/>
    <col min="5" max="5" width="3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29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32</v>
      </c>
      <c r="B2" s="18"/>
      <c r="C2" s="18"/>
      <c r="D2" s="18"/>
      <c r="E2" s="18"/>
      <c r="F2" s="7" t="s">
        <v>89</v>
      </c>
      <c r="K2" s="1" t="s">
        <v>88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170</v>
      </c>
      <c r="D6" s="13"/>
      <c r="E6" s="13"/>
      <c r="F6" s="13"/>
      <c r="G6" s="13"/>
      <c r="H6" s="13"/>
      <c r="I6" s="13"/>
    </row>
    <row r="8" spans="1:26" x14ac:dyDescent="0.35">
      <c r="A8" t="s">
        <v>171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A445-EAAA-4258-814D-F9BEF3ACD926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13.453125" customWidth="1"/>
    <col min="5" max="5" width="3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29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33</v>
      </c>
      <c r="B2" s="18"/>
      <c r="C2" s="18"/>
      <c r="D2" s="18"/>
      <c r="E2" s="18"/>
      <c r="F2" s="7" t="s">
        <v>90</v>
      </c>
      <c r="K2" s="1" t="s">
        <v>82</v>
      </c>
      <c r="Q2" s="1" t="s">
        <v>83</v>
      </c>
    </row>
    <row r="5" spans="1:26" x14ac:dyDescent="0.35">
      <c r="D5" s="14" t="s">
        <v>163</v>
      </c>
      <c r="E5" s="14" t="s">
        <v>164</v>
      </c>
      <c r="F5" s="14" t="s">
        <v>165</v>
      </c>
      <c r="G5" s="14" t="s">
        <v>166</v>
      </c>
      <c r="H5" s="14" t="s">
        <v>167</v>
      </c>
      <c r="I5" s="14" t="s">
        <v>168</v>
      </c>
    </row>
    <row r="6" spans="1:26" x14ac:dyDescent="0.35">
      <c r="A6" t="s">
        <v>161</v>
      </c>
      <c r="D6" s="13"/>
      <c r="E6" s="13"/>
      <c r="F6" s="13"/>
      <c r="G6" s="13"/>
      <c r="H6" s="13"/>
      <c r="I6" s="13"/>
    </row>
    <row r="8" spans="1:26" x14ac:dyDescent="0.35">
      <c r="A8" t="s">
        <v>162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5296-7DBD-4CD0-8E4A-E53A3B3D55FC}">
  <dimension ref="A1:Z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13.453125" customWidth="1"/>
    <col min="5" max="5" width="3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34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35</v>
      </c>
      <c r="B2" s="17"/>
      <c r="C2" s="17"/>
      <c r="D2" s="17"/>
      <c r="E2" s="17"/>
      <c r="F2" s="7" t="s">
        <v>91</v>
      </c>
      <c r="K2" s="1" t="s">
        <v>91</v>
      </c>
      <c r="Q2" s="1" t="s">
        <v>91</v>
      </c>
    </row>
  </sheetData>
  <mergeCells count="1">
    <mergeCell ref="A2:E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03D9-6A80-4E8B-8698-AE0C5DF3B0B8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21" customWidth="1"/>
    <col min="5" max="5" width="39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34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36</v>
      </c>
      <c r="B2" s="17"/>
      <c r="C2" s="17"/>
      <c r="D2" s="17"/>
      <c r="E2" s="17"/>
      <c r="F2" s="8" t="s">
        <v>93</v>
      </c>
      <c r="K2" s="1" t="s">
        <v>92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172</v>
      </c>
      <c r="D6" s="13"/>
      <c r="E6" s="13"/>
      <c r="F6" s="13"/>
      <c r="G6" s="13"/>
      <c r="H6" s="13"/>
      <c r="I6" s="13"/>
    </row>
    <row r="8" spans="1:26" x14ac:dyDescent="0.35">
      <c r="A8" t="s">
        <v>173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00C7-C74A-4A27-A29C-EEEF81480F89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63.08984375" customWidth="1"/>
    <col min="5" max="5" width="11.179687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34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37</v>
      </c>
      <c r="B2" s="17"/>
      <c r="C2" s="17"/>
      <c r="D2" s="17"/>
      <c r="E2" s="17"/>
      <c r="F2" s="1" t="s">
        <v>94</v>
      </c>
      <c r="K2" s="1" t="s">
        <v>95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174</v>
      </c>
      <c r="D6" s="13"/>
      <c r="E6" s="13"/>
      <c r="F6" s="13"/>
      <c r="G6" s="13"/>
      <c r="H6" s="13"/>
      <c r="I6" s="13"/>
    </row>
    <row r="8" spans="1:26" x14ac:dyDescent="0.35">
      <c r="A8" t="s">
        <v>175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1D0E-378D-4260-8C0E-BA807DBE34F4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32.08984375" customWidth="1"/>
    <col min="5" max="5" width="17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38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39</v>
      </c>
      <c r="B2" s="18"/>
      <c r="C2" s="18"/>
      <c r="D2" s="18"/>
      <c r="E2" s="18"/>
      <c r="F2" s="1" t="s">
        <v>97</v>
      </c>
      <c r="K2" s="1" t="s">
        <v>96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176</v>
      </c>
      <c r="D6" s="13"/>
      <c r="E6" s="13"/>
      <c r="F6" s="13"/>
      <c r="G6" s="13"/>
      <c r="H6" s="13"/>
      <c r="I6" s="13"/>
    </row>
    <row r="8" spans="1:26" x14ac:dyDescent="0.35">
      <c r="A8" t="s">
        <v>177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D80E-AD77-4969-8636-A28E2A9AE13B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32.08984375" customWidth="1"/>
    <col min="5" max="5" width="17.816406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38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40</v>
      </c>
      <c r="B2" s="18"/>
      <c r="C2" s="18"/>
      <c r="D2" s="18"/>
      <c r="E2" s="18"/>
      <c r="F2" s="1" t="s">
        <v>99</v>
      </c>
      <c r="K2" s="1" t="s">
        <v>98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178</v>
      </c>
      <c r="D6" s="13"/>
      <c r="E6" s="13"/>
      <c r="F6" s="13"/>
      <c r="G6" s="13"/>
      <c r="H6" s="13"/>
      <c r="I6" s="13"/>
    </row>
    <row r="8" spans="1:26" x14ac:dyDescent="0.35">
      <c r="A8" t="s">
        <v>179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6C26-624F-4543-B497-CCD8DF1145B0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53.36328125" customWidth="1"/>
    <col min="5" max="5" width="9.6328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38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41</v>
      </c>
      <c r="B2" s="17"/>
      <c r="C2" s="17"/>
      <c r="D2" s="17"/>
      <c r="E2" s="17"/>
      <c r="F2" s="7" t="s">
        <v>101</v>
      </c>
      <c r="K2" s="1" t="s">
        <v>100</v>
      </c>
      <c r="Q2" s="1" t="s">
        <v>60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180</v>
      </c>
      <c r="D6" s="13"/>
      <c r="E6" s="13"/>
      <c r="F6" s="13"/>
      <c r="G6" s="13"/>
      <c r="H6" s="13"/>
      <c r="I6" s="13"/>
    </row>
    <row r="8" spans="1:26" x14ac:dyDescent="0.35">
      <c r="A8" t="s">
        <v>181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4306-73DE-4863-98D4-CAABA3A83ED3}">
  <dimension ref="A1:Z12"/>
  <sheetViews>
    <sheetView workbookViewId="0">
      <selection activeCell="A2" sqref="A2:E2"/>
    </sheetView>
  </sheetViews>
  <sheetFormatPr defaultRowHeight="14.5" x14ac:dyDescent="0.35"/>
  <cols>
    <col min="1" max="1" width="12.08984375" customWidth="1"/>
    <col min="3" max="3" width="40.36328125" customWidth="1"/>
    <col min="5" max="5" width="9.6328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42</v>
      </c>
      <c r="B2" s="17"/>
      <c r="C2" s="17"/>
      <c r="D2" s="17"/>
      <c r="E2" s="17"/>
      <c r="F2" s="1" t="s">
        <v>102</v>
      </c>
      <c r="K2" s="1" t="s">
        <v>103</v>
      </c>
      <c r="Q2" s="1" t="s">
        <v>104</v>
      </c>
    </row>
    <row r="5" spans="1:26" x14ac:dyDescent="0.35">
      <c r="D5" s="14" t="s">
        <v>163</v>
      </c>
      <c r="E5" s="14" t="s">
        <v>166</v>
      </c>
      <c r="F5" s="14" t="s">
        <v>184</v>
      </c>
      <c r="G5" s="14" t="s">
        <v>185</v>
      </c>
      <c r="H5" s="14" t="s">
        <v>186</v>
      </c>
      <c r="I5" s="14" t="s">
        <v>187</v>
      </c>
    </row>
    <row r="6" spans="1:26" x14ac:dyDescent="0.35">
      <c r="A6" t="s">
        <v>182</v>
      </c>
      <c r="D6" s="13"/>
      <c r="E6" s="13"/>
      <c r="F6" s="13"/>
      <c r="G6" s="13"/>
      <c r="H6" s="13"/>
      <c r="I6" s="13"/>
    </row>
    <row r="8" spans="1:26" x14ac:dyDescent="0.35">
      <c r="A8" t="s">
        <v>183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76D7-E141-473A-A832-E06703668997}">
  <dimension ref="A1:Z12"/>
  <sheetViews>
    <sheetView workbookViewId="0">
      <selection activeCell="A5" sqref="A5:I12"/>
    </sheetView>
  </sheetViews>
  <sheetFormatPr defaultRowHeight="14.5" x14ac:dyDescent="0.35"/>
  <cols>
    <col min="1" max="1" width="12.08984375" customWidth="1"/>
    <col min="3" max="3" width="40.36328125" customWidth="1"/>
    <col min="5" max="5" width="9.6328125" customWidth="1"/>
    <col min="9" max="9" width="12" customWidth="1"/>
    <col min="10" max="10" width="49.8164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43</v>
      </c>
      <c r="B2" s="17"/>
      <c r="C2" s="17"/>
      <c r="D2" s="17"/>
      <c r="E2" s="17"/>
      <c r="F2" s="1" t="s">
        <v>105</v>
      </c>
      <c r="K2" s="1" t="s">
        <v>106</v>
      </c>
      <c r="Q2" s="1" t="s">
        <v>104</v>
      </c>
    </row>
    <row r="5" spans="1:26" x14ac:dyDescent="0.35">
      <c r="D5" s="14" t="s">
        <v>163</v>
      </c>
      <c r="E5" s="14" t="s">
        <v>166</v>
      </c>
      <c r="F5" s="14" t="s">
        <v>184</v>
      </c>
      <c r="G5" s="14" t="s">
        <v>185</v>
      </c>
      <c r="H5" s="14" t="s">
        <v>186</v>
      </c>
      <c r="I5" s="14" t="s">
        <v>187</v>
      </c>
    </row>
    <row r="6" spans="1:26" x14ac:dyDescent="0.35">
      <c r="A6" t="s">
        <v>188</v>
      </c>
      <c r="D6" s="13"/>
      <c r="E6" s="13"/>
      <c r="F6" s="13"/>
      <c r="G6" s="13"/>
      <c r="H6" s="13"/>
      <c r="I6" s="13"/>
    </row>
    <row r="8" spans="1:26" x14ac:dyDescent="0.35">
      <c r="A8" t="s">
        <v>189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A4A2-C315-4458-AE83-429F4321A6E7}">
  <dimension ref="A1:Z12"/>
  <sheetViews>
    <sheetView workbookViewId="0"/>
  </sheetViews>
  <sheetFormatPr defaultRowHeight="14.5" x14ac:dyDescent="0.35"/>
  <cols>
    <col min="1" max="1" width="12.08984375" customWidth="1"/>
    <col min="3" max="3" width="53.36328125" customWidth="1"/>
    <col min="5" max="5" width="9.6328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44</v>
      </c>
      <c r="B2" s="17"/>
      <c r="C2" s="17"/>
      <c r="D2" s="17"/>
      <c r="E2" s="17"/>
      <c r="F2" s="1" t="s">
        <v>107</v>
      </c>
      <c r="K2" s="1" t="s">
        <v>108</v>
      </c>
      <c r="Q2" s="1" t="s">
        <v>104</v>
      </c>
    </row>
    <row r="5" spans="1:26" x14ac:dyDescent="0.35">
      <c r="D5" s="14" t="s">
        <v>163</v>
      </c>
      <c r="E5" s="14" t="s">
        <v>166</v>
      </c>
      <c r="F5" s="14" t="s">
        <v>184</v>
      </c>
      <c r="G5" s="14" t="s">
        <v>185</v>
      </c>
      <c r="H5" s="14" t="s">
        <v>186</v>
      </c>
      <c r="I5" s="14" t="s">
        <v>187</v>
      </c>
    </row>
    <row r="6" spans="1:26" x14ac:dyDescent="0.35">
      <c r="A6" t="s">
        <v>191</v>
      </c>
      <c r="D6" s="13"/>
      <c r="E6" s="13"/>
      <c r="F6" s="13"/>
      <c r="G6" s="13"/>
      <c r="H6" s="13"/>
      <c r="I6" s="13"/>
    </row>
    <row r="8" spans="1:26" x14ac:dyDescent="0.35">
      <c r="A8" t="s">
        <v>192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4A7B-46F5-436C-992A-9A4B40966DC3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40" customWidth="1"/>
    <col min="5" max="5" width="9.6328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45</v>
      </c>
      <c r="B2" s="17"/>
      <c r="C2" s="17"/>
      <c r="D2" s="17"/>
      <c r="E2" s="17"/>
      <c r="F2" s="1" t="s">
        <v>109</v>
      </c>
      <c r="K2" s="1" t="s">
        <v>110</v>
      </c>
      <c r="Q2" s="1" t="s">
        <v>111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193</v>
      </c>
      <c r="D6" s="13"/>
      <c r="E6" s="13"/>
      <c r="F6" s="13"/>
      <c r="G6" s="13"/>
      <c r="H6" s="13"/>
      <c r="I6" s="13"/>
    </row>
    <row r="8" spans="1:26" x14ac:dyDescent="0.35">
      <c r="A8" t="s">
        <v>194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D506-A61B-4C06-8C80-58A995F1B2CD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40" customWidth="1"/>
    <col min="5" max="5" width="9.6328125" customWidth="1"/>
    <col min="9" max="9" width="12" customWidth="1"/>
    <col min="10" max="10" width="41.90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46</v>
      </c>
      <c r="B2" s="17"/>
      <c r="C2" s="17"/>
      <c r="D2" s="17"/>
      <c r="E2" s="17"/>
      <c r="F2" s="1" t="s">
        <v>112</v>
      </c>
      <c r="K2" s="1" t="s">
        <v>113</v>
      </c>
      <c r="Q2" s="1" t="s">
        <v>114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195</v>
      </c>
      <c r="D6" s="13"/>
      <c r="E6" s="13"/>
      <c r="F6" s="13"/>
      <c r="G6" s="13"/>
      <c r="H6" s="13"/>
      <c r="I6" s="13"/>
    </row>
    <row r="8" spans="1:26" x14ac:dyDescent="0.35">
      <c r="A8" t="s">
        <v>196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615A-0A15-4C0B-88E4-9B8A4A08B705}">
  <dimension ref="A1:Z12"/>
  <sheetViews>
    <sheetView workbookViewId="0">
      <selection sqref="A1:XFD1048576"/>
    </sheetView>
  </sheetViews>
  <sheetFormatPr defaultRowHeight="14.5" x14ac:dyDescent="0.35"/>
  <cols>
    <col min="1" max="1" width="12.08984375" customWidth="1"/>
    <col min="3" max="3" width="40" customWidth="1"/>
    <col min="5" max="5" width="9.6328125" customWidth="1"/>
    <col min="9" max="9" width="12" customWidth="1"/>
    <col min="10" max="10" width="50.7265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7" t="s">
        <v>47</v>
      </c>
      <c r="B2" s="17"/>
      <c r="C2" s="17"/>
      <c r="D2" s="17"/>
      <c r="E2" s="17"/>
      <c r="F2" s="1" t="s">
        <v>115</v>
      </c>
      <c r="K2" s="1" t="s">
        <v>116</v>
      </c>
      <c r="Q2" s="1" t="s">
        <v>111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197</v>
      </c>
      <c r="D6" s="13"/>
      <c r="E6" s="13"/>
      <c r="F6" s="13"/>
      <c r="G6" s="13"/>
      <c r="H6" s="13"/>
      <c r="I6" s="13"/>
    </row>
    <row r="8" spans="1:26" x14ac:dyDescent="0.35">
      <c r="A8" t="s">
        <v>198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AE4D-CB04-42C1-8333-1D28F52463BC}">
  <dimension ref="A1:Z12"/>
  <sheetViews>
    <sheetView tabSelected="1" workbookViewId="0">
      <selection activeCell="C10" sqref="C10"/>
    </sheetView>
  </sheetViews>
  <sheetFormatPr defaultRowHeight="14.5" x14ac:dyDescent="0.35"/>
  <cols>
    <col min="1" max="1" width="12.08984375" customWidth="1"/>
    <col min="3" max="3" width="40" customWidth="1"/>
    <col min="5" max="5" width="9.6328125" customWidth="1"/>
    <col min="9" max="9" width="12" customWidth="1"/>
    <col min="10" max="10" width="50.7265625" customWidth="1"/>
    <col min="11" max="15" width="12" customWidth="1"/>
    <col min="16" max="16" width="81" customWidth="1"/>
    <col min="17" max="18" width="12" customWidth="1"/>
  </cols>
  <sheetData>
    <row r="1" spans="1:26" ht="21" x14ac:dyDescent="0.5">
      <c r="A1" s="2" t="s">
        <v>190</v>
      </c>
      <c r="B1" s="3"/>
      <c r="C1" s="3"/>
      <c r="D1" s="3"/>
      <c r="E1" s="3"/>
      <c r="F1" s="9" t="s">
        <v>49</v>
      </c>
      <c r="G1" s="2"/>
      <c r="H1" s="2"/>
      <c r="I1" s="2"/>
      <c r="J1" s="2"/>
      <c r="K1" s="9" t="s">
        <v>119</v>
      </c>
      <c r="L1" s="2"/>
      <c r="M1" s="2"/>
      <c r="N1" s="2"/>
      <c r="O1" s="2"/>
      <c r="P1" s="2"/>
      <c r="Q1" s="9" t="s">
        <v>120</v>
      </c>
      <c r="R1" s="2"/>
      <c r="S1" s="2"/>
      <c r="T1" s="2"/>
      <c r="U1" s="2"/>
      <c r="V1" s="2"/>
      <c r="W1" s="2"/>
      <c r="X1" s="2"/>
      <c r="Y1" s="2"/>
      <c r="Z1" s="2"/>
    </row>
    <row r="2" spans="1:26" ht="18.5" customHeight="1" x14ac:dyDescent="0.35">
      <c r="A2" s="18" t="s">
        <v>48</v>
      </c>
      <c r="B2" s="18"/>
      <c r="C2" s="18"/>
      <c r="D2" s="18"/>
      <c r="E2" s="18"/>
      <c r="F2" s="1" t="s">
        <v>117</v>
      </c>
      <c r="K2" s="1" t="s">
        <v>118</v>
      </c>
      <c r="Q2" s="1" t="s">
        <v>111</v>
      </c>
    </row>
    <row r="5" spans="1:26" x14ac:dyDescent="0.35">
      <c r="D5" s="14">
        <v>2020</v>
      </c>
      <c r="E5" s="14">
        <v>2021</v>
      </c>
      <c r="F5" s="14">
        <v>2022</v>
      </c>
      <c r="G5" s="14">
        <v>2023</v>
      </c>
      <c r="H5" s="14">
        <v>2024</v>
      </c>
      <c r="I5" s="14">
        <v>2025</v>
      </c>
    </row>
    <row r="6" spans="1:26" x14ac:dyDescent="0.35">
      <c r="A6" t="s">
        <v>199</v>
      </c>
      <c r="D6" s="13"/>
      <c r="E6" s="13"/>
      <c r="F6" s="13"/>
      <c r="G6" s="13"/>
      <c r="H6" s="13"/>
      <c r="I6" s="13"/>
    </row>
    <row r="8" spans="1:26" x14ac:dyDescent="0.35">
      <c r="A8" t="s">
        <v>200</v>
      </c>
      <c r="D8" s="13"/>
      <c r="E8" s="13"/>
      <c r="F8" s="13"/>
      <c r="G8" s="13"/>
      <c r="H8" s="13"/>
      <c r="I8" s="13"/>
    </row>
    <row r="10" spans="1:26" x14ac:dyDescent="0.35">
      <c r="A10" t="s">
        <v>49</v>
      </c>
      <c r="D10" t="e">
        <f>(D6/D8)*100</f>
        <v>#DIV/0!</v>
      </c>
      <c r="E10" t="e">
        <f t="shared" ref="E10:I10" si="0">(E6/E8)*100</f>
        <v>#DIV/0!</v>
      </c>
      <c r="F10" t="e">
        <f t="shared" si="0"/>
        <v>#DIV/0!</v>
      </c>
      <c r="G10" t="e">
        <f t="shared" si="0"/>
        <v>#DIV/0!</v>
      </c>
      <c r="H10" t="e">
        <f t="shared" si="0"/>
        <v>#DIV/0!</v>
      </c>
      <c r="I10" t="e">
        <f t="shared" si="0"/>
        <v>#DIV/0!</v>
      </c>
    </row>
    <row r="12" spans="1:26" x14ac:dyDescent="0.35">
      <c r="A12" t="s">
        <v>125</v>
      </c>
      <c r="C12" s="13"/>
      <c r="D12" t="s">
        <v>126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35</vt:i4>
      </vt:variant>
    </vt:vector>
  </HeadingPairs>
  <TitlesOfParts>
    <vt:vector size="35" baseType="lpstr">
      <vt:lpstr>MOD_IL_02</vt:lpstr>
      <vt:lpstr>M1P1</vt:lpstr>
      <vt:lpstr>M1P2</vt:lpstr>
      <vt:lpstr>M2P4</vt:lpstr>
      <vt:lpstr>M1P3</vt:lpstr>
      <vt:lpstr>M2P5</vt:lpstr>
      <vt:lpstr>M2P6</vt:lpstr>
      <vt:lpstr>M2P7</vt:lpstr>
      <vt:lpstr>M2P8</vt:lpstr>
      <vt:lpstr>M3P9</vt:lpstr>
      <vt:lpstr>M3P10</vt:lpstr>
      <vt:lpstr>M3P11</vt:lpstr>
      <vt:lpstr>M4P12</vt:lpstr>
      <vt:lpstr>M4P13</vt:lpstr>
      <vt:lpstr>M4P14</vt:lpstr>
      <vt:lpstr>M4P15</vt:lpstr>
      <vt:lpstr>M4P16</vt:lpstr>
      <vt:lpstr>M4P17</vt:lpstr>
      <vt:lpstr>M5P18</vt:lpstr>
      <vt:lpstr>M5P19</vt:lpstr>
      <vt:lpstr>M5P20</vt:lpstr>
      <vt:lpstr>M5P21</vt:lpstr>
      <vt:lpstr>M6P22</vt:lpstr>
      <vt:lpstr>M6P23</vt:lpstr>
      <vt:lpstr>M6P24</vt:lpstr>
      <vt:lpstr>M7P25</vt:lpstr>
      <vt:lpstr>M7P26</vt:lpstr>
      <vt:lpstr>M7P27</vt:lpstr>
      <vt:lpstr>M8P28</vt:lpstr>
      <vt:lpstr>M8P29</vt:lpstr>
      <vt:lpstr>M8P30</vt:lpstr>
      <vt:lpstr>M8P31</vt:lpstr>
      <vt:lpstr>M8P32</vt:lpstr>
      <vt:lpstr>M8P33</vt:lpstr>
      <vt:lpstr>M8P34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Sebastiano Da Lio</dc:creator>
  <cp:lastModifiedBy>Sebastiano Da Lio</cp:lastModifiedBy>
  <dcterms:created xsi:type="dcterms:W3CDTF">2020-08-20T08:28:46Z</dcterms:created>
  <dcterms:modified xsi:type="dcterms:W3CDTF">2020-11-27T15:05:17Z</dcterms:modified>
</cp:coreProperties>
</file>