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LTASERVER\Condivisa\MICROBIOLOGIA\Accreditamento\EDITABILI\PT\2024\"/>
    </mc:Choice>
  </mc:AlternateContent>
  <xr:revisionPtr revIDLastSave="0" documentId="13_ncr:1_{735F5A6B-E89B-4A1C-AFFD-0798915E712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Tabelle1" sheetId="1" r:id="rId1"/>
    <sheet name="Letture operatore 1" sheetId="2" r:id="rId2"/>
    <sheet name="Letture operatore 2" sheetId="3" r:id="rId3"/>
    <sheet name="Risultat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  <c r="M47" i="4"/>
  <c r="G75" i="4"/>
  <c r="G62" i="4"/>
  <c r="G63" i="4"/>
  <c r="G61" i="4"/>
  <c r="G55" i="4"/>
  <c r="G56" i="4"/>
  <c r="G57" i="4"/>
  <c r="G54" i="4"/>
  <c r="G48" i="4"/>
  <c r="G49" i="4"/>
  <c r="G47" i="4"/>
  <c r="G28" i="4"/>
  <c r="G22" i="4"/>
  <c r="G23" i="4"/>
  <c r="G21" i="4"/>
  <c r="G15" i="4"/>
  <c r="G16" i="4"/>
  <c r="G17" i="4"/>
  <c r="G14" i="4"/>
  <c r="G8" i="4"/>
  <c r="G9" i="4"/>
  <c r="G10" i="4"/>
  <c r="G11" i="4"/>
  <c r="G7" i="4"/>
  <c r="F48" i="4"/>
  <c r="F49" i="4"/>
  <c r="F54" i="4"/>
  <c r="F55" i="4"/>
  <c r="F56" i="4"/>
  <c r="F57" i="4"/>
  <c r="F61" i="4"/>
  <c r="F62" i="4"/>
  <c r="F63" i="4"/>
  <c r="F75" i="4"/>
  <c r="F47" i="4"/>
  <c r="F8" i="4"/>
  <c r="F9" i="4"/>
  <c r="F10" i="4"/>
  <c r="F11" i="4"/>
  <c r="F14" i="4"/>
  <c r="F15" i="4"/>
  <c r="F16" i="4"/>
  <c r="F17" i="4"/>
  <c r="F21" i="4"/>
  <c r="F22" i="4"/>
  <c r="F23" i="4"/>
  <c r="F28" i="4"/>
  <c r="F7" i="4"/>
</calcChain>
</file>

<file path=xl/sharedStrings.xml><?xml version="1.0" encoding="utf-8"?>
<sst xmlns="http://schemas.openxmlformats.org/spreadsheetml/2006/main" count="565" uniqueCount="114">
  <si>
    <t>Campioni:</t>
  </si>
  <si>
    <t>PT provider:</t>
  </si>
  <si>
    <t>Data di arrivo:</t>
  </si>
  <si>
    <t>Termine consegna risultati:</t>
  </si>
  <si>
    <t>RISOSPENSIONE</t>
  </si>
  <si>
    <t>Data:</t>
  </si>
  <si>
    <t>Fisiologica sterile:</t>
  </si>
  <si>
    <t>Volume di risospensione:</t>
  </si>
  <si>
    <t>Terreni agarizzati</t>
  </si>
  <si>
    <t>Nome</t>
  </si>
  <si>
    <t>Lotto</t>
  </si>
  <si>
    <t>Scadenza</t>
  </si>
  <si>
    <t>Volume piastrato:</t>
  </si>
  <si>
    <t>MCK</t>
  </si>
  <si>
    <t>BAA</t>
  </si>
  <si>
    <t>TSCS</t>
  </si>
  <si>
    <t>CLED</t>
  </si>
  <si>
    <t>XLD</t>
  </si>
  <si>
    <t>Bianchi di processo</t>
  </si>
  <si>
    <t>Operazioni effettuate:</t>
  </si>
  <si>
    <t>Catalase</t>
  </si>
  <si>
    <t>Oxidase</t>
  </si>
  <si>
    <t>indolo</t>
  </si>
  <si>
    <t>TSC</t>
  </si>
  <si>
    <t>Operatore 1:</t>
  </si>
  <si>
    <t>Operatore 2:</t>
  </si>
  <si>
    <t>Campione:</t>
  </si>
  <si>
    <t>Aspetto su piastra</t>
  </si>
  <si>
    <t>API</t>
  </si>
  <si>
    <t xml:space="preserve">Terreno agarizzato: </t>
  </si>
  <si>
    <t>colonia 1</t>
  </si>
  <si>
    <t>colonia 2</t>
  </si>
  <si>
    <t>colonia 3</t>
  </si>
  <si>
    <t>colonia 4</t>
  </si>
  <si>
    <t>colonia 5</t>
  </si>
  <si>
    <t>Terreno agarizzato:</t>
  </si>
  <si>
    <t>N° colonia 1</t>
  </si>
  <si>
    <t>N° colonia 2</t>
  </si>
  <si>
    <t>N° colonia 3</t>
  </si>
  <si>
    <t>N° colonia 4</t>
  </si>
  <si>
    <t>N° colonia 5</t>
  </si>
  <si>
    <t>media</t>
  </si>
  <si>
    <t>Op. 1</t>
  </si>
  <si>
    <t>Op. 2</t>
  </si>
  <si>
    <t>Valore normalizzato*</t>
  </si>
  <si>
    <t>Identificazione</t>
  </si>
  <si>
    <t>Coliformi totali</t>
  </si>
  <si>
    <t>Foglio di registrazione PT test</t>
  </si>
  <si>
    <t>M147.00 
del 20/05/2024</t>
  </si>
  <si>
    <t>Firma</t>
  </si>
  <si>
    <t>Coliformi totali*</t>
  </si>
  <si>
    <t xml:space="preserve">* la conta è ottenuta effettuando la media delle somme dei coliformi totali identificati nelle piastre CLED dei due operatori </t>
  </si>
  <si>
    <t>FEPTU S118A, S118B</t>
  </si>
  <si>
    <t>UK Health Security Agency, EQA/PT Schemes</t>
  </si>
  <si>
    <t>Alessandro Bidossi</t>
  </si>
  <si>
    <t>Marianna Mauri</t>
  </si>
  <si>
    <t>FISIO128.24</t>
  </si>
  <si>
    <t>1 ml</t>
  </si>
  <si>
    <t>MCK169.24</t>
  </si>
  <si>
    <t>2024/12</t>
  </si>
  <si>
    <t>BAA169.24</t>
  </si>
  <si>
    <t>TSCS169.24</t>
  </si>
  <si>
    <t>CLED058.24</t>
  </si>
  <si>
    <t>2024/08</t>
  </si>
  <si>
    <t>XLD058.24</t>
  </si>
  <si>
    <t>100 ul</t>
  </si>
  <si>
    <t>TSA123.24</t>
  </si>
  <si>
    <t>SAB124.24</t>
  </si>
  <si>
    <t>TSA</t>
  </si>
  <si>
    <t>SAB</t>
  </si>
  <si>
    <t>2024/10</t>
  </si>
  <si>
    <t xml:space="preserve">Conta e annotazione morfologie delle colonie </t>
  </si>
  <si>
    <t>Colorazione di Gram</t>
  </si>
  <si>
    <t>Test della catalasi, ossidasi e dell'indolo</t>
  </si>
  <si>
    <t>Ripassate colonie sospette coliformi (E.coli/enterobacteriaceae/bacilli-) in:</t>
  </si>
  <si>
    <t>MCK, CLED, XLD</t>
  </si>
  <si>
    <t>lettura ripassi su piastra e interpretazione dati</t>
  </si>
  <si>
    <t>lettura API  e annotazione risultati</t>
  </si>
  <si>
    <t>piatta chiara</t>
  </si>
  <si>
    <t>gialle piccole</t>
  </si>
  <si>
    <t>medie gialle con alone</t>
  </si>
  <si>
    <t>medie azzurre</t>
  </si>
  <si>
    <t>grandi mucose azzurre</t>
  </si>
  <si>
    <t>grandi mucose gialle</t>
  </si>
  <si>
    <t>nere</t>
  </si>
  <si>
    <t>piccole gialle rialzate con alone</t>
  </si>
  <si>
    <t>media gialla</t>
  </si>
  <si>
    <t>mucosa</t>
  </si>
  <si>
    <t>grande con precipitato rosa</t>
  </si>
  <si>
    <t>piccola incolore</t>
  </si>
  <si>
    <t>nera</t>
  </si>
  <si>
    <t>gialla media no alone</t>
  </si>
  <si>
    <t>giallina alone</t>
  </si>
  <si>
    <t>verdi</t>
  </si>
  <si>
    <t>piccole gialle</t>
  </si>
  <si>
    <t>gialla no alone</t>
  </si>
  <si>
    <t>rosa con precipitazione</t>
  </si>
  <si>
    <t>rosa no precipitazione</t>
  </si>
  <si>
    <t>chiara con pigmento nero al centro</t>
  </si>
  <si>
    <t>-</t>
  </si>
  <si>
    <t>+</t>
  </si>
  <si>
    <t>S118A</t>
  </si>
  <si>
    <t>S118B</t>
  </si>
  <si>
    <t>ID 32 E - E. coli 99,9%</t>
  </si>
  <si>
    <t>medie con alone</t>
  </si>
  <si>
    <r>
      <t xml:space="preserve">Effettuato test </t>
    </r>
    <r>
      <rPr>
        <i/>
        <sz val="11"/>
        <color theme="1"/>
        <rFont val="Calibri"/>
        <family val="2"/>
        <scheme val="minor"/>
      </rPr>
      <t>API ID 32 E</t>
    </r>
    <r>
      <rPr>
        <sz val="11"/>
        <color theme="1"/>
        <rFont val="Calibri"/>
        <family val="2"/>
        <scheme val="minor"/>
      </rPr>
      <t xml:space="preserve"> per le seguenti colonie da CLED: S118B 1, S118B 2, S118A 2</t>
    </r>
  </si>
  <si>
    <r>
      <t xml:space="preserve">ID 32 E - </t>
    </r>
    <r>
      <rPr>
        <i/>
        <sz val="11"/>
        <color theme="1"/>
        <rFont val="Calibri"/>
        <family val="2"/>
        <scheme val="minor"/>
      </rPr>
      <t>Roultella</t>
    </r>
    <r>
      <rPr>
        <sz val="11"/>
        <color theme="1"/>
        <rFont val="Calibri"/>
        <family val="2"/>
        <scheme val="minor"/>
      </rPr>
      <t xml:space="preserve"> spp. 87,5%</t>
    </r>
  </si>
  <si>
    <t>N° colonia 1/5</t>
  </si>
  <si>
    <t>Enterococcus spp</t>
  </si>
  <si>
    <t>E. coli</t>
  </si>
  <si>
    <t>Salmonella spp.</t>
  </si>
  <si>
    <t>Klebsiella/Enterobacter</t>
  </si>
  <si>
    <t>Raoultella spp.</t>
  </si>
  <si>
    <t>C. perfringens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</si>
</sst>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4" xfId="0" applyFont="1" applyBorder="1"/>
    <xf numFmtId="0" fontId="2" fillId="0" borderId="0" xfId="0" applyFont="1"/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/>
    <xf numFmtId="0" fontId="5" fillId="0" borderId="0" xfId="0" applyFont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4" xfId="0" applyNumberFormat="1" applyBorder="1"/>
    <xf numFmtId="0" fontId="0" fillId="0" borderId="7" xfId="0" quotePrefix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0" xfId="0" applyFont="1" applyAlignment="1">
      <alignment horizontal="left" wrapText="1"/>
    </xf>
    <xf numFmtId="0" fontId="2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2</xdr:col>
      <xdr:colOff>47625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FE045EBC-2991-409E-A4A6-2F581FDD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133350</xdr:colOff>
      <xdr:row>0</xdr:row>
      <xdr:rowOff>609600</xdr:rowOff>
    </xdr:from>
    <xdr:to>
      <xdr:col>18</xdr:col>
      <xdr:colOff>533400</xdr:colOff>
      <xdr:row>0</xdr:row>
      <xdr:rowOff>933450</xdr:rowOff>
    </xdr:to>
    <xdr:pic>
      <xdr:nvPicPr>
        <xdr:cNvPr id="3" name="Immagine 2" descr="Immagine che contiene calligrafia&#10;&#10;Descrizione generata automaticamente">
          <a:extLst>
            <a:ext uri="{FF2B5EF4-FFF2-40B4-BE49-F238E27FC236}">
              <a16:creationId xmlns:a16="http://schemas.microsoft.com/office/drawing/2014/main" id="{AC7ACD21-3D6C-4B8E-EFE0-636A9A3C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609600"/>
          <a:ext cx="10096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2</xdr:col>
      <xdr:colOff>47625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6C5904E3-E7AE-4185-A9BD-EB259F4F6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66675</xdr:colOff>
      <xdr:row>0</xdr:row>
      <xdr:rowOff>533400</xdr:rowOff>
    </xdr:from>
    <xdr:to>
      <xdr:col>18</xdr:col>
      <xdr:colOff>466725</xdr:colOff>
      <xdr:row>0</xdr:row>
      <xdr:rowOff>857250</xdr:rowOff>
    </xdr:to>
    <xdr:pic>
      <xdr:nvPicPr>
        <xdr:cNvPr id="3" name="Immagine 2" descr="Immagine che contiene calligrafia&#10;&#10;Descrizione generata automaticamente">
          <a:extLst>
            <a:ext uri="{FF2B5EF4-FFF2-40B4-BE49-F238E27FC236}">
              <a16:creationId xmlns:a16="http://schemas.microsoft.com/office/drawing/2014/main" id="{85586500-A97A-BEE4-71A6-1F4C4E2FB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533400"/>
          <a:ext cx="10096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2</xdr:col>
      <xdr:colOff>47625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78837FD1-D245-4AF4-980F-691E23FA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76200</xdr:colOff>
      <xdr:row>0</xdr:row>
      <xdr:rowOff>628650</xdr:rowOff>
    </xdr:from>
    <xdr:to>
      <xdr:col>18</xdr:col>
      <xdr:colOff>476250</xdr:colOff>
      <xdr:row>0</xdr:row>
      <xdr:rowOff>952500</xdr:rowOff>
    </xdr:to>
    <xdr:pic>
      <xdr:nvPicPr>
        <xdr:cNvPr id="3" name="Immagine 2" descr="Immagine che contiene calligrafia&#10;&#10;Descrizione generata automaticamente">
          <a:extLst>
            <a:ext uri="{FF2B5EF4-FFF2-40B4-BE49-F238E27FC236}">
              <a16:creationId xmlns:a16="http://schemas.microsoft.com/office/drawing/2014/main" id="{804EBD8D-3B10-C6D8-51C2-764FA1E74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628650"/>
          <a:ext cx="10096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219075</xdr:rowOff>
    </xdr:from>
    <xdr:to>
      <xdr:col>2</xdr:col>
      <xdr:colOff>38100</xdr:colOff>
      <xdr:row>0</xdr:row>
      <xdr:rowOff>647700</xdr:rowOff>
    </xdr:to>
    <xdr:pic>
      <xdr:nvPicPr>
        <xdr:cNvPr id="2" name="Immagine 1" descr="Immagine che contiene Carattere, simbolo, linea, design&#10;&#10;Descrizione generata automaticamente">
          <a:extLst>
            <a:ext uri="{FF2B5EF4-FFF2-40B4-BE49-F238E27FC236}">
              <a16:creationId xmlns:a16="http://schemas.microsoft.com/office/drawing/2014/main" id="{44422E95-33FD-4AAD-929B-BA03C4A7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19075"/>
          <a:ext cx="7048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123825</xdr:colOff>
      <xdr:row>0</xdr:row>
      <xdr:rowOff>542925</xdr:rowOff>
    </xdr:from>
    <xdr:to>
      <xdr:col>18</xdr:col>
      <xdr:colOff>523875</xdr:colOff>
      <xdr:row>0</xdr:row>
      <xdr:rowOff>866775</xdr:rowOff>
    </xdr:to>
    <xdr:pic>
      <xdr:nvPicPr>
        <xdr:cNvPr id="3" name="Immagine 2" descr="Immagine che contiene calligrafia&#10;&#10;Descrizione generata automaticamente">
          <a:extLst>
            <a:ext uri="{FF2B5EF4-FFF2-40B4-BE49-F238E27FC236}">
              <a16:creationId xmlns:a16="http://schemas.microsoft.com/office/drawing/2014/main" id="{EE891759-0ECA-41DE-9954-014AF818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542925"/>
          <a:ext cx="10096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7"/>
  <sheetViews>
    <sheetView tabSelected="1" topLeftCell="A45" workbookViewId="0">
      <selection activeCell="V81" sqref="A1:V81"/>
    </sheetView>
  </sheetViews>
  <sheetFormatPr defaultRowHeight="15" x14ac:dyDescent="0.25"/>
  <cols>
    <col min="4" max="4" width="10.7109375" bestFit="1" customWidth="1"/>
  </cols>
  <sheetData>
    <row r="1" spans="1:19" ht="76.5" customHeight="1" thickBot="1" x14ac:dyDescent="0.3">
      <c r="A1" s="28"/>
      <c r="B1" s="29"/>
      <c r="C1" s="30"/>
      <c r="D1" s="31" t="s">
        <v>47</v>
      </c>
      <c r="E1" s="32"/>
      <c r="F1" s="32"/>
      <c r="G1" s="32"/>
      <c r="H1" s="32"/>
      <c r="I1" s="32"/>
      <c r="J1" s="32"/>
      <c r="K1" s="33"/>
      <c r="L1" s="23" t="s">
        <v>48</v>
      </c>
      <c r="M1" s="24"/>
      <c r="N1" s="25"/>
      <c r="Q1" s="2" t="s">
        <v>49</v>
      </c>
      <c r="R1" s="22"/>
      <c r="S1" s="22"/>
    </row>
    <row r="4" spans="1:19" x14ac:dyDescent="0.25">
      <c r="A4" s="2" t="s">
        <v>0</v>
      </c>
      <c r="D4" s="1" t="s">
        <v>52</v>
      </c>
      <c r="E4" s="1"/>
      <c r="F4" s="1"/>
      <c r="G4" s="1"/>
    </row>
    <row r="5" spans="1:19" x14ac:dyDescent="0.25">
      <c r="A5" s="2" t="s">
        <v>1</v>
      </c>
      <c r="D5" s="1" t="s">
        <v>53</v>
      </c>
      <c r="E5" s="1"/>
      <c r="F5" s="1"/>
      <c r="G5" s="1"/>
    </row>
    <row r="6" spans="1:19" x14ac:dyDescent="0.25">
      <c r="A6" s="2" t="s">
        <v>2</v>
      </c>
      <c r="D6" s="18">
        <v>45453</v>
      </c>
      <c r="E6" s="1"/>
      <c r="F6" s="1"/>
      <c r="G6" s="1"/>
    </row>
    <row r="7" spans="1:19" x14ac:dyDescent="0.25">
      <c r="A7" s="2" t="s">
        <v>3</v>
      </c>
      <c r="D7" s="18">
        <v>45478</v>
      </c>
      <c r="E7" s="1"/>
      <c r="F7" s="1"/>
      <c r="G7" s="1"/>
    </row>
    <row r="8" spans="1:19" x14ac:dyDescent="0.25">
      <c r="A8" s="2" t="s">
        <v>24</v>
      </c>
      <c r="D8" s="1" t="s">
        <v>54</v>
      </c>
      <c r="E8" s="1"/>
      <c r="F8" s="1"/>
      <c r="G8" s="1"/>
    </row>
    <row r="9" spans="1:19" x14ac:dyDescent="0.25">
      <c r="A9" s="2" t="s">
        <v>25</v>
      </c>
      <c r="D9" s="1" t="s">
        <v>55</v>
      </c>
      <c r="E9" s="1"/>
      <c r="F9" s="1"/>
      <c r="G9" s="1"/>
    </row>
    <row r="11" spans="1:19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9" ht="15.75" thickTop="1" x14ac:dyDescent="0.25"/>
    <row r="13" spans="1:19" x14ac:dyDescent="0.25">
      <c r="A13" s="2" t="s">
        <v>4</v>
      </c>
    </row>
    <row r="15" spans="1:19" x14ac:dyDescent="0.25">
      <c r="A15" s="2" t="s">
        <v>5</v>
      </c>
      <c r="D15" s="18">
        <v>45554</v>
      </c>
      <c r="E15" s="1"/>
      <c r="F15" s="1"/>
      <c r="G15" s="1"/>
    </row>
    <row r="16" spans="1:19" x14ac:dyDescent="0.25">
      <c r="A16" s="2" t="s">
        <v>6</v>
      </c>
      <c r="D16" s="4" t="s">
        <v>56</v>
      </c>
      <c r="E16" s="4"/>
      <c r="F16" s="4"/>
      <c r="G16" s="4"/>
    </row>
    <row r="17" spans="1:7" x14ac:dyDescent="0.25">
      <c r="A17" s="2" t="s">
        <v>7</v>
      </c>
      <c r="D17" s="4" t="s">
        <v>57</v>
      </c>
      <c r="E17" s="4"/>
      <c r="F17" s="4"/>
      <c r="G17" s="4"/>
    </row>
    <row r="19" spans="1:7" x14ac:dyDescent="0.25">
      <c r="A19" s="2" t="s">
        <v>8</v>
      </c>
    </row>
    <row r="21" spans="1:7" x14ac:dyDescent="0.25">
      <c r="A21" t="s">
        <v>9</v>
      </c>
      <c r="B21" s="26" t="s">
        <v>10</v>
      </c>
      <c r="C21" s="26"/>
      <c r="D21" t="s">
        <v>11</v>
      </c>
    </row>
    <row r="22" spans="1:7" x14ac:dyDescent="0.25">
      <c r="A22" s="6" t="s">
        <v>13</v>
      </c>
      <c r="B22" s="27" t="s">
        <v>58</v>
      </c>
      <c r="C22" s="27" t="s">
        <v>58</v>
      </c>
      <c r="D22" s="7" t="s">
        <v>59</v>
      </c>
    </row>
    <row r="23" spans="1:7" x14ac:dyDescent="0.25">
      <c r="A23" s="6" t="s">
        <v>14</v>
      </c>
      <c r="B23" s="27" t="s">
        <v>60</v>
      </c>
      <c r="C23" s="27" t="s">
        <v>60</v>
      </c>
      <c r="D23" s="7" t="s">
        <v>59</v>
      </c>
    </row>
    <row r="24" spans="1:7" x14ac:dyDescent="0.25">
      <c r="A24" s="6" t="s">
        <v>15</v>
      </c>
      <c r="B24" s="27" t="s">
        <v>61</v>
      </c>
      <c r="C24" s="27" t="s">
        <v>61</v>
      </c>
      <c r="D24" s="7" t="s">
        <v>59</v>
      </c>
    </row>
    <row r="25" spans="1:7" x14ac:dyDescent="0.25">
      <c r="A25" s="6" t="s">
        <v>16</v>
      </c>
      <c r="B25" s="27" t="s">
        <v>62</v>
      </c>
      <c r="C25" s="27" t="s">
        <v>62</v>
      </c>
      <c r="D25" s="7" t="s">
        <v>63</v>
      </c>
    </row>
    <row r="26" spans="1:7" x14ac:dyDescent="0.25">
      <c r="A26" s="6" t="s">
        <v>17</v>
      </c>
      <c r="B26" s="27" t="s">
        <v>64</v>
      </c>
      <c r="C26" s="27" t="s">
        <v>64</v>
      </c>
      <c r="D26" s="7" t="s">
        <v>63</v>
      </c>
    </row>
    <row r="28" spans="1:7" x14ac:dyDescent="0.25">
      <c r="A28" s="2" t="s">
        <v>12</v>
      </c>
      <c r="D28" s="1" t="s">
        <v>65</v>
      </c>
      <c r="E28" s="1"/>
      <c r="F28" s="1"/>
      <c r="G28" s="1"/>
    </row>
    <row r="31" spans="1:7" x14ac:dyDescent="0.25">
      <c r="A31" s="2" t="s">
        <v>18</v>
      </c>
    </row>
    <row r="33" spans="1:14" x14ac:dyDescent="0.25">
      <c r="A33" t="s">
        <v>9</v>
      </c>
      <c r="B33" s="26" t="s">
        <v>10</v>
      </c>
      <c r="C33" s="26"/>
      <c r="D33" t="s">
        <v>11</v>
      </c>
    </row>
    <row r="34" spans="1:14" x14ac:dyDescent="0.25">
      <c r="A34" s="6" t="s">
        <v>68</v>
      </c>
      <c r="B34" s="27" t="s">
        <v>66</v>
      </c>
      <c r="C34" s="27" t="s">
        <v>66</v>
      </c>
      <c r="D34" s="7" t="s">
        <v>70</v>
      </c>
    </row>
    <row r="35" spans="1:14" x14ac:dyDescent="0.25">
      <c r="A35" s="6" t="s">
        <v>69</v>
      </c>
      <c r="B35" s="27" t="s">
        <v>67</v>
      </c>
      <c r="C35" s="27" t="s">
        <v>67</v>
      </c>
      <c r="D35" s="7" t="s">
        <v>70</v>
      </c>
    </row>
    <row r="38" spans="1:14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.75" thickTop="1" x14ac:dyDescent="0.25"/>
    <row r="40" spans="1:14" x14ac:dyDescent="0.25">
      <c r="A40" s="2" t="s">
        <v>5</v>
      </c>
      <c r="D40" s="18">
        <v>45464</v>
      </c>
      <c r="E40" s="1"/>
    </row>
    <row r="41" spans="1:14" x14ac:dyDescent="0.25">
      <c r="A41" s="2" t="s">
        <v>19</v>
      </c>
    </row>
    <row r="42" spans="1:14" x14ac:dyDescent="0.25">
      <c r="A42" s="1" t="s">
        <v>71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 t="s">
        <v>72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 t="s">
        <v>73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8" spans="1:14" x14ac:dyDescent="0.25">
      <c r="A48" s="2" t="s">
        <v>5</v>
      </c>
      <c r="D48" s="18">
        <v>45467</v>
      </c>
      <c r="E48" s="1"/>
    </row>
    <row r="49" spans="1:14" x14ac:dyDescent="0.25">
      <c r="A49" s="2" t="s">
        <v>19</v>
      </c>
    </row>
    <row r="50" spans="1:14" x14ac:dyDescent="0.25">
      <c r="A50" s="1" t="s">
        <v>74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 t="s">
        <v>75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6" spans="1:14" x14ac:dyDescent="0.25">
      <c r="A56" s="2" t="s">
        <v>5</v>
      </c>
      <c r="D56" s="18">
        <v>45468</v>
      </c>
      <c r="E56" s="1"/>
    </row>
    <row r="57" spans="1:14" x14ac:dyDescent="0.25">
      <c r="A57" s="2" t="s">
        <v>19</v>
      </c>
    </row>
    <row r="58" spans="1:14" x14ac:dyDescent="0.25">
      <c r="A58" s="1" t="s">
        <v>76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 t="s">
        <v>105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4" spans="1:14" x14ac:dyDescent="0.25">
      <c r="A64" s="2" t="s">
        <v>5</v>
      </c>
      <c r="D64" s="18">
        <v>45469</v>
      </c>
      <c r="E64" s="1"/>
    </row>
    <row r="65" spans="1:14" x14ac:dyDescent="0.25">
      <c r="A65" s="2" t="s">
        <v>19</v>
      </c>
    </row>
    <row r="66" spans="1:14" x14ac:dyDescent="0.25">
      <c r="A66" s="1" t="s">
        <v>77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2" spans="1:14" x14ac:dyDescent="0.25">
      <c r="A72" s="2" t="s">
        <v>5</v>
      </c>
      <c r="D72" s="1"/>
      <c r="E72" s="1"/>
    </row>
    <row r="73" spans="1:14" x14ac:dyDescent="0.25">
      <c r="A73" s="2" t="s">
        <v>19</v>
      </c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</sheetData>
  <mergeCells count="13">
    <mergeCell ref="B33:C33"/>
    <mergeCell ref="B35:C35"/>
    <mergeCell ref="B34:C34"/>
    <mergeCell ref="A1:C1"/>
    <mergeCell ref="D1:K1"/>
    <mergeCell ref="R1:S1"/>
    <mergeCell ref="L1:N1"/>
    <mergeCell ref="B21:C21"/>
    <mergeCell ref="B26:C26"/>
    <mergeCell ref="B25:C25"/>
    <mergeCell ref="B24:C24"/>
    <mergeCell ref="B23:C23"/>
    <mergeCell ref="B22:C22"/>
  </mergeCells>
  <pageMargins left="0.7" right="0.7" top="0.75" bottom="0.75" header="0.3" footer="0.3"/>
  <pageSetup paperSize="9" scale="4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18DB-11D3-4357-82E3-4A933D519714}">
  <sheetPr>
    <pageSetUpPr fitToPage="1"/>
  </sheetPr>
  <dimension ref="A1:S80"/>
  <sheetViews>
    <sheetView tabSelected="1" workbookViewId="0">
      <selection activeCell="V81" sqref="A1:V81"/>
    </sheetView>
  </sheetViews>
  <sheetFormatPr defaultRowHeight="15" x14ac:dyDescent="0.25"/>
  <sheetData>
    <row r="1" spans="1:19" ht="76.5" customHeight="1" thickBot="1" x14ac:dyDescent="0.3">
      <c r="A1" s="28"/>
      <c r="B1" s="29"/>
      <c r="C1" s="30"/>
      <c r="D1" s="31" t="s">
        <v>47</v>
      </c>
      <c r="E1" s="32"/>
      <c r="F1" s="32"/>
      <c r="G1" s="32"/>
      <c r="H1" s="32"/>
      <c r="I1" s="32"/>
      <c r="J1" s="32"/>
      <c r="K1" s="33"/>
      <c r="L1" s="23" t="s">
        <v>48</v>
      </c>
      <c r="M1" s="24"/>
      <c r="N1" s="25"/>
      <c r="Q1" s="2" t="s">
        <v>49</v>
      </c>
      <c r="R1" s="22"/>
      <c r="S1" s="22"/>
    </row>
    <row r="4" spans="1:19" x14ac:dyDescent="0.25">
      <c r="A4" s="2" t="s">
        <v>26</v>
      </c>
      <c r="D4" s="1" t="s">
        <v>101</v>
      </c>
      <c r="E4" s="1"/>
      <c r="F4" s="1"/>
      <c r="G4" s="1"/>
    </row>
    <row r="5" spans="1:19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9" ht="15.75" thickBot="1" x14ac:dyDescent="0.3">
      <c r="A6" s="3"/>
      <c r="B6" s="36" t="s">
        <v>27</v>
      </c>
      <c r="C6" s="36"/>
      <c r="D6" s="36"/>
      <c r="E6" s="36"/>
      <c r="F6" s="36"/>
      <c r="G6" s="36"/>
      <c r="H6" s="9" t="s">
        <v>20</v>
      </c>
      <c r="I6" s="9" t="s">
        <v>21</v>
      </c>
      <c r="J6" s="9" t="s">
        <v>22</v>
      </c>
      <c r="K6" s="36" t="s">
        <v>28</v>
      </c>
      <c r="L6" s="36"/>
      <c r="M6" s="36"/>
      <c r="N6" s="36"/>
    </row>
    <row r="7" spans="1:19" ht="15.75" thickTop="1" x14ac:dyDescent="0.25">
      <c r="A7" s="8" t="s">
        <v>29</v>
      </c>
      <c r="B7" s="1"/>
      <c r="C7" s="10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9" x14ac:dyDescent="0.25">
      <c r="A8" s="5" t="s">
        <v>30</v>
      </c>
      <c r="B8" s="34" t="s">
        <v>79</v>
      </c>
      <c r="C8" s="34"/>
      <c r="D8" s="34"/>
      <c r="E8" s="34"/>
      <c r="F8" s="34"/>
      <c r="G8" s="34"/>
      <c r="H8" s="17" t="s">
        <v>99</v>
      </c>
      <c r="I8" s="19" t="s">
        <v>99</v>
      </c>
      <c r="J8" s="19" t="s">
        <v>99</v>
      </c>
      <c r="K8" s="35"/>
      <c r="L8" s="35"/>
      <c r="M8" s="35"/>
      <c r="N8" s="35"/>
    </row>
    <row r="9" spans="1:19" x14ac:dyDescent="0.25">
      <c r="A9" s="5" t="s">
        <v>31</v>
      </c>
      <c r="B9" s="34" t="s">
        <v>80</v>
      </c>
      <c r="C9" s="34"/>
      <c r="D9" s="34"/>
      <c r="E9" s="34"/>
      <c r="F9" s="34"/>
      <c r="G9" s="34"/>
      <c r="H9" s="17" t="s">
        <v>100</v>
      </c>
      <c r="I9" s="19" t="s">
        <v>99</v>
      </c>
      <c r="J9" s="17" t="s">
        <v>100</v>
      </c>
      <c r="K9" s="35" t="s">
        <v>103</v>
      </c>
      <c r="L9" s="35"/>
      <c r="M9" s="35"/>
      <c r="N9" s="35"/>
    </row>
    <row r="10" spans="1:19" x14ac:dyDescent="0.25">
      <c r="A10" s="5" t="s">
        <v>32</v>
      </c>
      <c r="B10" s="34" t="s">
        <v>81</v>
      </c>
      <c r="C10" s="34"/>
      <c r="D10" s="34"/>
      <c r="E10" s="34"/>
      <c r="F10" s="34"/>
      <c r="G10" s="34"/>
      <c r="H10" s="17" t="s">
        <v>100</v>
      </c>
      <c r="I10" s="19" t="s">
        <v>99</v>
      </c>
      <c r="J10" s="19" t="s">
        <v>99</v>
      </c>
      <c r="K10" s="35"/>
      <c r="L10" s="35"/>
      <c r="M10" s="35"/>
      <c r="N10" s="35"/>
    </row>
    <row r="11" spans="1:19" x14ac:dyDescent="0.25">
      <c r="A11" s="5" t="s">
        <v>33</v>
      </c>
      <c r="B11" s="34" t="s">
        <v>82</v>
      </c>
      <c r="C11" s="34"/>
      <c r="D11" s="34"/>
      <c r="E11" s="34"/>
      <c r="F11" s="34"/>
      <c r="G11" s="34"/>
      <c r="H11" s="17" t="s">
        <v>100</v>
      </c>
      <c r="I11" s="19" t="s">
        <v>99</v>
      </c>
      <c r="J11" s="19" t="s">
        <v>99</v>
      </c>
      <c r="K11" s="35"/>
      <c r="L11" s="35"/>
      <c r="M11" s="35"/>
      <c r="N11" s="35"/>
    </row>
    <row r="12" spans="1:19" x14ac:dyDescent="0.25">
      <c r="A12" s="5" t="s">
        <v>34</v>
      </c>
      <c r="B12" s="34" t="s">
        <v>83</v>
      </c>
      <c r="C12" s="34"/>
      <c r="D12" s="34"/>
      <c r="E12" s="34"/>
      <c r="F12" s="34"/>
      <c r="G12" s="34"/>
      <c r="H12" s="17" t="s">
        <v>100</v>
      </c>
      <c r="I12" s="19" t="s">
        <v>99</v>
      </c>
      <c r="J12" s="19" t="s">
        <v>99</v>
      </c>
      <c r="K12" s="35"/>
      <c r="L12" s="35"/>
      <c r="M12" s="35"/>
      <c r="N12" s="35"/>
    </row>
    <row r="13" spans="1:19" x14ac:dyDescent="0.25">
      <c r="H13" s="20"/>
    </row>
    <row r="14" spans="1:19" x14ac:dyDescent="0.25">
      <c r="A14" s="8" t="s">
        <v>29</v>
      </c>
      <c r="B14" s="1"/>
      <c r="C14" s="2" t="s">
        <v>17</v>
      </c>
      <c r="D14" s="1"/>
      <c r="E14" s="1"/>
      <c r="F14" s="1"/>
      <c r="G14" s="1"/>
      <c r="H14" s="16"/>
      <c r="I14" s="1"/>
      <c r="J14" s="1"/>
      <c r="K14" s="1"/>
      <c r="L14" s="1"/>
      <c r="M14" s="1"/>
      <c r="N14" s="1"/>
    </row>
    <row r="15" spans="1:19" x14ac:dyDescent="0.25">
      <c r="A15" s="5" t="s">
        <v>30</v>
      </c>
      <c r="B15" s="34" t="s">
        <v>84</v>
      </c>
      <c r="C15" s="34"/>
      <c r="D15" s="34"/>
      <c r="E15" s="34"/>
      <c r="F15" s="34"/>
      <c r="G15" s="34"/>
      <c r="H15" s="17" t="s">
        <v>100</v>
      </c>
      <c r="I15" s="19" t="s">
        <v>99</v>
      </c>
      <c r="J15" s="19" t="s">
        <v>99</v>
      </c>
      <c r="K15" s="35"/>
      <c r="L15" s="35"/>
      <c r="M15" s="35"/>
      <c r="N15" s="35"/>
    </row>
    <row r="16" spans="1:19" x14ac:dyDescent="0.25">
      <c r="A16" s="5" t="s">
        <v>31</v>
      </c>
      <c r="B16" s="34" t="s">
        <v>85</v>
      </c>
      <c r="C16" s="34"/>
      <c r="D16" s="34"/>
      <c r="E16" s="34"/>
      <c r="F16" s="34"/>
      <c r="G16" s="34"/>
      <c r="H16" s="17" t="s">
        <v>100</v>
      </c>
      <c r="I16" s="19" t="s">
        <v>99</v>
      </c>
      <c r="J16" s="17" t="s">
        <v>100</v>
      </c>
      <c r="K16" s="35"/>
      <c r="L16" s="35"/>
      <c r="M16" s="35"/>
      <c r="N16" s="35"/>
    </row>
    <row r="17" spans="1:14" x14ac:dyDescent="0.25">
      <c r="A17" s="5" t="s">
        <v>32</v>
      </c>
      <c r="B17" s="34" t="s">
        <v>86</v>
      </c>
      <c r="C17" s="34"/>
      <c r="D17" s="34"/>
      <c r="E17" s="34"/>
      <c r="F17" s="34"/>
      <c r="G17" s="34"/>
      <c r="H17" s="17" t="s">
        <v>100</v>
      </c>
      <c r="I17" s="19" t="s">
        <v>99</v>
      </c>
      <c r="J17" s="19" t="s">
        <v>99</v>
      </c>
      <c r="K17" s="35"/>
      <c r="L17" s="35"/>
      <c r="M17" s="35"/>
      <c r="N17" s="35"/>
    </row>
    <row r="18" spans="1:14" x14ac:dyDescent="0.25">
      <c r="A18" s="5" t="s">
        <v>33</v>
      </c>
      <c r="B18" s="34" t="s">
        <v>87</v>
      </c>
      <c r="C18" s="34"/>
      <c r="D18" s="34"/>
      <c r="E18" s="34"/>
      <c r="F18" s="34"/>
      <c r="G18" s="34"/>
      <c r="H18" s="17" t="s">
        <v>100</v>
      </c>
      <c r="I18" s="19" t="s">
        <v>99</v>
      </c>
      <c r="J18" s="19" t="s">
        <v>99</v>
      </c>
      <c r="K18" s="35"/>
      <c r="L18" s="35"/>
      <c r="M18" s="35"/>
      <c r="N18" s="35"/>
    </row>
    <row r="19" spans="1:14" x14ac:dyDescent="0.25">
      <c r="A19" s="5" t="s">
        <v>34</v>
      </c>
      <c r="B19" s="34"/>
      <c r="C19" s="34"/>
      <c r="D19" s="34"/>
      <c r="E19" s="34"/>
      <c r="F19" s="34"/>
      <c r="G19" s="34"/>
      <c r="H19" s="17"/>
      <c r="I19" s="5"/>
      <c r="J19" s="5"/>
      <c r="K19" s="35"/>
      <c r="L19" s="35"/>
      <c r="M19" s="35"/>
      <c r="N19" s="35"/>
    </row>
    <row r="20" spans="1:14" x14ac:dyDescent="0.25">
      <c r="H20" s="20"/>
    </row>
    <row r="21" spans="1:14" x14ac:dyDescent="0.25">
      <c r="A21" s="8" t="s">
        <v>29</v>
      </c>
      <c r="B21" s="1"/>
      <c r="C21" s="2" t="s">
        <v>13</v>
      </c>
      <c r="D21" s="1"/>
      <c r="E21" s="1"/>
      <c r="F21" s="1"/>
      <c r="G21" s="1"/>
      <c r="H21" s="16"/>
      <c r="I21" s="1"/>
      <c r="J21" s="1"/>
      <c r="K21" s="1"/>
      <c r="L21" s="1"/>
      <c r="M21" s="1"/>
      <c r="N21" s="1"/>
    </row>
    <row r="22" spans="1:14" x14ac:dyDescent="0.25">
      <c r="A22" s="5" t="s">
        <v>30</v>
      </c>
      <c r="B22" s="34" t="s">
        <v>78</v>
      </c>
      <c r="C22" s="34"/>
      <c r="D22" s="34"/>
      <c r="E22" s="34"/>
      <c r="F22" s="34"/>
      <c r="G22" s="34"/>
      <c r="H22" s="17" t="s">
        <v>100</v>
      </c>
      <c r="I22" s="19" t="s">
        <v>99</v>
      </c>
      <c r="J22" s="19" t="s">
        <v>99</v>
      </c>
      <c r="K22" s="35"/>
      <c r="L22" s="35"/>
      <c r="M22" s="35"/>
      <c r="N22" s="35"/>
    </row>
    <row r="23" spans="1:14" x14ac:dyDescent="0.25">
      <c r="A23" s="5" t="s">
        <v>31</v>
      </c>
      <c r="B23" s="34" t="s">
        <v>88</v>
      </c>
      <c r="C23" s="34"/>
      <c r="D23" s="34"/>
      <c r="E23" s="34"/>
      <c r="F23" s="34"/>
      <c r="G23" s="34"/>
      <c r="H23" s="17" t="s">
        <v>100</v>
      </c>
      <c r="I23" s="19" t="s">
        <v>99</v>
      </c>
      <c r="J23" s="19" t="s">
        <v>99</v>
      </c>
      <c r="K23" s="35"/>
      <c r="L23" s="35"/>
      <c r="M23" s="35"/>
      <c r="N23" s="35"/>
    </row>
    <row r="24" spans="1:14" x14ac:dyDescent="0.25">
      <c r="A24" s="5" t="s">
        <v>32</v>
      </c>
      <c r="B24" s="34" t="s">
        <v>89</v>
      </c>
      <c r="C24" s="34"/>
      <c r="D24" s="34"/>
      <c r="E24" s="34"/>
      <c r="F24" s="34"/>
      <c r="G24" s="34"/>
      <c r="H24" s="17" t="s">
        <v>100</v>
      </c>
      <c r="I24" s="19" t="s">
        <v>99</v>
      </c>
      <c r="J24" s="17" t="s">
        <v>100</v>
      </c>
      <c r="K24" s="35"/>
      <c r="L24" s="35"/>
      <c r="M24" s="35"/>
      <c r="N24" s="35"/>
    </row>
    <row r="25" spans="1:14" x14ac:dyDescent="0.25">
      <c r="A25" s="5" t="s">
        <v>33</v>
      </c>
      <c r="B25" s="34"/>
      <c r="C25" s="34"/>
      <c r="D25" s="34"/>
      <c r="E25" s="34"/>
      <c r="F25" s="34"/>
      <c r="G25" s="34"/>
      <c r="H25" s="17"/>
      <c r="I25" s="19"/>
      <c r="J25" s="5"/>
      <c r="K25" s="35"/>
      <c r="L25" s="35"/>
      <c r="M25" s="35"/>
      <c r="N25" s="35"/>
    </row>
    <row r="26" spans="1:14" x14ac:dyDescent="0.25">
      <c r="A26" s="5" t="s">
        <v>34</v>
      </c>
      <c r="B26" s="34"/>
      <c r="C26" s="34"/>
      <c r="D26" s="34"/>
      <c r="E26" s="34"/>
      <c r="F26" s="34"/>
      <c r="G26" s="34"/>
      <c r="H26" s="17"/>
      <c r="I26" s="5"/>
      <c r="J26" s="5"/>
      <c r="K26" s="35"/>
      <c r="L26" s="35"/>
      <c r="M26" s="35"/>
      <c r="N26" s="35"/>
    </row>
    <row r="27" spans="1:14" x14ac:dyDescent="0.25">
      <c r="H27" s="20"/>
    </row>
    <row r="28" spans="1:14" x14ac:dyDescent="0.25">
      <c r="A28" s="8" t="s">
        <v>29</v>
      </c>
      <c r="B28" s="1"/>
      <c r="C28" s="2" t="s">
        <v>14</v>
      </c>
      <c r="D28" s="1"/>
      <c r="E28" s="1"/>
      <c r="F28" s="1"/>
      <c r="G28" s="1"/>
      <c r="H28" s="16"/>
      <c r="I28" s="1"/>
      <c r="J28" s="1"/>
      <c r="K28" s="1"/>
      <c r="L28" s="1"/>
      <c r="M28" s="1"/>
      <c r="N28" s="1"/>
    </row>
    <row r="29" spans="1:14" x14ac:dyDescent="0.25">
      <c r="A29" s="5" t="s">
        <v>30</v>
      </c>
      <c r="B29" s="34" t="s">
        <v>90</v>
      </c>
      <c r="C29" s="34"/>
      <c r="D29" s="34"/>
      <c r="E29" s="34"/>
      <c r="F29" s="34"/>
      <c r="G29" s="34"/>
      <c r="H29" s="17" t="s">
        <v>99</v>
      </c>
      <c r="I29" s="19" t="s">
        <v>99</v>
      </c>
      <c r="J29" s="19" t="s">
        <v>99</v>
      </c>
      <c r="K29" s="35"/>
      <c r="L29" s="35"/>
      <c r="M29" s="35"/>
      <c r="N29" s="35"/>
    </row>
    <row r="30" spans="1:14" x14ac:dyDescent="0.25">
      <c r="A30" s="5" t="s">
        <v>31</v>
      </c>
      <c r="B30" s="34"/>
      <c r="C30" s="34"/>
      <c r="D30" s="34"/>
      <c r="E30" s="34"/>
      <c r="F30" s="34"/>
      <c r="G30" s="34"/>
      <c r="H30" s="5"/>
      <c r="I30" s="5"/>
      <c r="J30" s="5"/>
      <c r="K30" s="35"/>
      <c r="L30" s="35"/>
      <c r="M30" s="35"/>
      <c r="N30" s="35"/>
    </row>
    <row r="31" spans="1:14" x14ac:dyDescent="0.25">
      <c r="A31" s="5" t="s">
        <v>32</v>
      </c>
      <c r="B31" s="34"/>
      <c r="C31" s="34"/>
      <c r="D31" s="34"/>
      <c r="E31" s="34"/>
      <c r="F31" s="34"/>
      <c r="G31" s="34"/>
      <c r="H31" s="5"/>
      <c r="I31" s="5"/>
      <c r="J31" s="5"/>
      <c r="K31" s="35"/>
      <c r="L31" s="35"/>
      <c r="M31" s="35"/>
      <c r="N31" s="35"/>
    </row>
    <row r="32" spans="1:14" x14ac:dyDescent="0.25">
      <c r="A32" s="5" t="s">
        <v>33</v>
      </c>
      <c r="B32" s="34"/>
      <c r="C32" s="34"/>
      <c r="D32" s="34"/>
      <c r="E32" s="34"/>
      <c r="F32" s="34"/>
      <c r="G32" s="34"/>
      <c r="H32" s="5"/>
      <c r="I32" s="5"/>
      <c r="J32" s="5"/>
      <c r="K32" s="35"/>
      <c r="L32" s="35"/>
      <c r="M32" s="35"/>
      <c r="N32" s="35"/>
    </row>
    <row r="33" spans="1:14" x14ac:dyDescent="0.25">
      <c r="A33" s="5" t="s">
        <v>34</v>
      </c>
      <c r="B33" s="34"/>
      <c r="C33" s="34"/>
      <c r="D33" s="34"/>
      <c r="E33" s="34"/>
      <c r="F33" s="34"/>
      <c r="G33" s="34"/>
      <c r="H33" s="5"/>
      <c r="I33" s="5"/>
      <c r="J33" s="5"/>
      <c r="K33" s="35"/>
      <c r="L33" s="35"/>
      <c r="M33" s="35"/>
      <c r="N33" s="35"/>
    </row>
    <row r="35" spans="1:14" x14ac:dyDescent="0.25">
      <c r="A35" s="8" t="s">
        <v>29</v>
      </c>
      <c r="B35" s="1"/>
      <c r="C35" s="2" t="s">
        <v>23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5" t="s">
        <v>30</v>
      </c>
      <c r="B36" s="34"/>
      <c r="C36" s="34"/>
      <c r="D36" s="34"/>
      <c r="E36" s="34"/>
      <c r="F36" s="34"/>
      <c r="G36" s="34"/>
      <c r="H36" s="5"/>
      <c r="I36" s="5"/>
      <c r="J36" s="5"/>
      <c r="K36" s="35"/>
      <c r="L36" s="35"/>
      <c r="M36" s="35"/>
      <c r="N36" s="35"/>
    </row>
    <row r="37" spans="1:14" x14ac:dyDescent="0.25">
      <c r="A37" s="5" t="s">
        <v>31</v>
      </c>
      <c r="B37" s="34"/>
      <c r="C37" s="34"/>
      <c r="D37" s="34"/>
      <c r="E37" s="34"/>
      <c r="F37" s="34"/>
      <c r="G37" s="34"/>
      <c r="H37" s="5"/>
      <c r="I37" s="5"/>
      <c r="J37" s="5"/>
      <c r="K37" s="35"/>
      <c r="L37" s="35"/>
      <c r="M37" s="35"/>
      <c r="N37" s="35"/>
    </row>
    <row r="38" spans="1:14" x14ac:dyDescent="0.25">
      <c r="A38" s="5" t="s">
        <v>32</v>
      </c>
      <c r="B38" s="34"/>
      <c r="C38" s="34"/>
      <c r="D38" s="34"/>
      <c r="E38" s="34"/>
      <c r="F38" s="34"/>
      <c r="G38" s="34"/>
      <c r="H38" s="5"/>
      <c r="I38" s="5"/>
      <c r="J38" s="5"/>
      <c r="K38" s="35"/>
      <c r="L38" s="35"/>
      <c r="M38" s="35"/>
      <c r="N38" s="35"/>
    </row>
    <row r="39" spans="1:14" x14ac:dyDescent="0.25">
      <c r="A39" s="5" t="s">
        <v>33</v>
      </c>
      <c r="B39" s="34"/>
      <c r="C39" s="34"/>
      <c r="D39" s="34"/>
      <c r="E39" s="34"/>
      <c r="F39" s="34"/>
      <c r="G39" s="34"/>
      <c r="H39" s="5"/>
      <c r="I39" s="5"/>
      <c r="J39" s="5"/>
      <c r="K39" s="35"/>
      <c r="L39" s="35"/>
      <c r="M39" s="35"/>
      <c r="N39" s="35"/>
    </row>
    <row r="40" spans="1:14" x14ac:dyDescent="0.25">
      <c r="A40" s="5" t="s">
        <v>34</v>
      </c>
      <c r="B40" s="34"/>
      <c r="C40" s="34"/>
      <c r="D40" s="34"/>
      <c r="E40" s="34"/>
      <c r="F40" s="34"/>
      <c r="G40" s="34"/>
      <c r="H40" s="5"/>
      <c r="I40" s="5"/>
      <c r="J40" s="5"/>
      <c r="K40" s="35"/>
      <c r="L40" s="35"/>
      <c r="M40" s="35"/>
      <c r="N40" s="35"/>
    </row>
    <row r="44" spans="1:14" x14ac:dyDescent="0.25">
      <c r="A44" s="2" t="s">
        <v>26</v>
      </c>
      <c r="D44" s="1" t="s">
        <v>102</v>
      </c>
      <c r="E44" s="1"/>
      <c r="F44" s="1"/>
      <c r="G44" s="1"/>
    </row>
    <row r="45" spans="1:14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thickBot="1" x14ac:dyDescent="0.3">
      <c r="A46" s="3"/>
      <c r="B46" s="36" t="s">
        <v>27</v>
      </c>
      <c r="C46" s="36"/>
      <c r="D46" s="36"/>
      <c r="E46" s="36"/>
      <c r="F46" s="36"/>
      <c r="G46" s="36"/>
      <c r="H46" s="9" t="s">
        <v>20</v>
      </c>
      <c r="I46" s="9" t="s">
        <v>21</v>
      </c>
      <c r="J46" s="9" t="s">
        <v>22</v>
      </c>
      <c r="K46" s="36" t="s">
        <v>28</v>
      </c>
      <c r="L46" s="36"/>
      <c r="M46" s="36"/>
      <c r="N46" s="36"/>
    </row>
    <row r="47" spans="1:14" ht="15.75" thickTop="1" x14ac:dyDescent="0.25">
      <c r="A47" s="8" t="s">
        <v>29</v>
      </c>
      <c r="B47" s="1"/>
      <c r="C47" s="10" t="s">
        <v>16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5" t="s">
        <v>30</v>
      </c>
      <c r="B48" s="34" t="s">
        <v>91</v>
      </c>
      <c r="C48" s="34"/>
      <c r="D48" s="34"/>
      <c r="E48" s="34"/>
      <c r="F48" s="34"/>
      <c r="G48" s="34"/>
      <c r="H48" s="17" t="s">
        <v>100</v>
      </c>
      <c r="I48" s="19" t="s">
        <v>99</v>
      </c>
      <c r="J48" s="17" t="s">
        <v>100</v>
      </c>
      <c r="K48" s="37" t="s">
        <v>103</v>
      </c>
      <c r="L48" s="38"/>
      <c r="M48" s="38"/>
      <c r="N48" s="39"/>
    </row>
    <row r="49" spans="1:14" x14ac:dyDescent="0.25">
      <c r="A49" s="5" t="s">
        <v>31</v>
      </c>
      <c r="B49" s="34" t="s">
        <v>92</v>
      </c>
      <c r="C49" s="34"/>
      <c r="D49" s="34"/>
      <c r="E49" s="34"/>
      <c r="F49" s="34"/>
      <c r="G49" s="34"/>
      <c r="H49" s="17" t="s">
        <v>100</v>
      </c>
      <c r="I49" s="19" t="s">
        <v>99</v>
      </c>
      <c r="J49" s="19" t="s">
        <v>99</v>
      </c>
      <c r="K49" s="37" t="s">
        <v>106</v>
      </c>
      <c r="L49" s="38"/>
      <c r="M49" s="38"/>
      <c r="N49" s="39"/>
    </row>
    <row r="50" spans="1:14" x14ac:dyDescent="0.25">
      <c r="A50" s="5" t="s">
        <v>32</v>
      </c>
      <c r="B50" s="34" t="s">
        <v>92</v>
      </c>
      <c r="C50" s="34"/>
      <c r="D50" s="34"/>
      <c r="E50" s="34"/>
      <c r="F50" s="34"/>
      <c r="G50" s="34"/>
      <c r="H50" s="17" t="s">
        <v>100</v>
      </c>
      <c r="I50" s="19" t="s">
        <v>99</v>
      </c>
      <c r="J50" s="19" t="s">
        <v>99</v>
      </c>
      <c r="K50" s="35"/>
      <c r="L50" s="35"/>
      <c r="M50" s="35"/>
      <c r="N50" s="35"/>
    </row>
    <row r="51" spans="1:14" x14ac:dyDescent="0.25">
      <c r="A51" s="5" t="s">
        <v>33</v>
      </c>
      <c r="B51" s="34" t="s">
        <v>93</v>
      </c>
      <c r="C51" s="34"/>
      <c r="D51" s="34"/>
      <c r="E51" s="34"/>
      <c r="F51" s="34"/>
      <c r="G51" s="34"/>
      <c r="H51" s="17" t="s">
        <v>100</v>
      </c>
      <c r="I51" s="19" t="s">
        <v>99</v>
      </c>
      <c r="J51" s="19" t="s">
        <v>99</v>
      </c>
      <c r="K51" s="35"/>
      <c r="L51" s="35"/>
      <c r="M51" s="35"/>
      <c r="N51" s="35"/>
    </row>
    <row r="52" spans="1:14" x14ac:dyDescent="0.25">
      <c r="A52" s="5" t="s">
        <v>34</v>
      </c>
      <c r="B52" s="34"/>
      <c r="C52" s="34"/>
      <c r="D52" s="34"/>
      <c r="E52" s="34"/>
      <c r="F52" s="34"/>
      <c r="G52" s="34"/>
      <c r="H52" s="17"/>
      <c r="I52" s="5"/>
      <c r="J52" s="5"/>
      <c r="K52" s="35"/>
      <c r="L52" s="35"/>
      <c r="M52" s="35"/>
      <c r="N52" s="35"/>
    </row>
    <row r="53" spans="1:14" x14ac:dyDescent="0.25">
      <c r="H53" s="20"/>
    </row>
    <row r="54" spans="1:14" x14ac:dyDescent="0.25">
      <c r="A54" s="8" t="s">
        <v>29</v>
      </c>
      <c r="B54" s="1"/>
      <c r="C54" s="2" t="s">
        <v>17</v>
      </c>
      <c r="D54" s="1"/>
      <c r="E54" s="1"/>
      <c r="F54" s="1"/>
      <c r="G54" s="1"/>
      <c r="H54" s="16"/>
      <c r="I54" s="1"/>
      <c r="J54" s="1"/>
      <c r="K54" s="1"/>
      <c r="L54" s="1"/>
      <c r="M54" s="1"/>
      <c r="N54" s="1"/>
    </row>
    <row r="55" spans="1:14" x14ac:dyDescent="0.25">
      <c r="A55" s="5" t="s">
        <v>30</v>
      </c>
      <c r="B55" s="34" t="s">
        <v>84</v>
      </c>
      <c r="C55" s="34"/>
      <c r="D55" s="34"/>
      <c r="E55" s="34"/>
      <c r="F55" s="34"/>
      <c r="G55" s="34"/>
      <c r="H55" s="17" t="s">
        <v>100</v>
      </c>
      <c r="I55" s="19" t="s">
        <v>99</v>
      </c>
      <c r="J55" s="19" t="s">
        <v>99</v>
      </c>
      <c r="K55" s="35"/>
      <c r="L55" s="35"/>
      <c r="M55" s="35"/>
      <c r="N55" s="35"/>
    </row>
    <row r="56" spans="1:14" x14ac:dyDescent="0.25">
      <c r="A56" s="5" t="s">
        <v>31</v>
      </c>
      <c r="B56" s="34" t="s">
        <v>94</v>
      </c>
      <c r="C56" s="34"/>
      <c r="D56" s="34"/>
      <c r="E56" s="34"/>
      <c r="F56" s="34"/>
      <c r="G56" s="34"/>
      <c r="H56" s="17" t="s">
        <v>100</v>
      </c>
      <c r="I56" s="19" t="s">
        <v>99</v>
      </c>
      <c r="J56" s="19" t="s">
        <v>99</v>
      </c>
      <c r="K56" s="35"/>
      <c r="L56" s="35"/>
      <c r="M56" s="35"/>
      <c r="N56" s="35"/>
    </row>
    <row r="57" spans="1:14" x14ac:dyDescent="0.25">
      <c r="A57" s="5" t="s">
        <v>32</v>
      </c>
      <c r="B57" s="34" t="s">
        <v>95</v>
      </c>
      <c r="C57" s="34"/>
      <c r="D57" s="34"/>
      <c r="E57" s="34"/>
      <c r="F57" s="34"/>
      <c r="G57" s="34"/>
      <c r="H57" s="17" t="s">
        <v>100</v>
      </c>
      <c r="I57" s="19" t="s">
        <v>99</v>
      </c>
      <c r="J57" s="19" t="s">
        <v>99</v>
      </c>
      <c r="K57" s="35"/>
      <c r="L57" s="35"/>
      <c r="M57" s="35"/>
      <c r="N57" s="35"/>
    </row>
    <row r="58" spans="1:14" x14ac:dyDescent="0.25">
      <c r="A58" s="5" t="s">
        <v>33</v>
      </c>
      <c r="B58" s="34" t="s">
        <v>104</v>
      </c>
      <c r="C58" s="34"/>
      <c r="D58" s="34"/>
      <c r="E58" s="34"/>
      <c r="F58" s="34"/>
      <c r="G58" s="34"/>
      <c r="H58" s="17" t="s">
        <v>100</v>
      </c>
      <c r="I58" s="19" t="s">
        <v>99</v>
      </c>
      <c r="J58" s="19" t="s">
        <v>100</v>
      </c>
      <c r="K58" s="35"/>
      <c r="L58" s="35"/>
      <c r="M58" s="35"/>
      <c r="N58" s="35"/>
    </row>
    <row r="59" spans="1:14" x14ac:dyDescent="0.25">
      <c r="A59" s="5" t="s">
        <v>34</v>
      </c>
      <c r="B59" s="34"/>
      <c r="C59" s="34"/>
      <c r="D59" s="34"/>
      <c r="E59" s="34"/>
      <c r="F59" s="34"/>
      <c r="G59" s="34"/>
      <c r="H59" s="17"/>
      <c r="I59" s="19"/>
      <c r="J59" s="17"/>
      <c r="K59" s="35"/>
      <c r="L59" s="35"/>
      <c r="M59" s="35"/>
      <c r="N59" s="35"/>
    </row>
    <row r="60" spans="1:14" x14ac:dyDescent="0.25">
      <c r="H60" s="20"/>
    </row>
    <row r="61" spans="1:14" x14ac:dyDescent="0.25">
      <c r="A61" s="8" t="s">
        <v>29</v>
      </c>
      <c r="B61" s="1"/>
      <c r="C61" s="2" t="s">
        <v>13</v>
      </c>
      <c r="D61" s="1"/>
      <c r="E61" s="1"/>
      <c r="F61" s="1"/>
      <c r="G61" s="1"/>
      <c r="H61" s="16"/>
      <c r="I61" s="1"/>
      <c r="J61" s="1"/>
      <c r="K61" s="1"/>
      <c r="L61" s="1"/>
      <c r="M61" s="1"/>
      <c r="N61" s="1"/>
    </row>
    <row r="62" spans="1:14" x14ac:dyDescent="0.25">
      <c r="A62" s="5" t="s">
        <v>30</v>
      </c>
      <c r="B62" s="34" t="s">
        <v>78</v>
      </c>
      <c r="C62" s="34"/>
      <c r="D62" s="34"/>
      <c r="E62" s="34"/>
      <c r="F62" s="34"/>
      <c r="G62" s="34"/>
      <c r="H62" s="17" t="s">
        <v>100</v>
      </c>
      <c r="I62" s="19" t="s">
        <v>99</v>
      </c>
      <c r="J62" s="19" t="s">
        <v>99</v>
      </c>
      <c r="K62" s="35"/>
      <c r="L62" s="35"/>
      <c r="M62" s="35"/>
      <c r="N62" s="35"/>
    </row>
    <row r="63" spans="1:14" x14ac:dyDescent="0.25">
      <c r="A63" s="5" t="s">
        <v>31</v>
      </c>
      <c r="B63" s="34" t="s">
        <v>96</v>
      </c>
      <c r="C63" s="34"/>
      <c r="D63" s="34"/>
      <c r="E63" s="34"/>
      <c r="F63" s="34"/>
      <c r="G63" s="34"/>
      <c r="H63" s="17" t="s">
        <v>100</v>
      </c>
      <c r="I63" s="19" t="s">
        <v>99</v>
      </c>
      <c r="J63" s="17" t="s">
        <v>100</v>
      </c>
      <c r="K63" s="35"/>
      <c r="L63" s="35"/>
      <c r="M63" s="35"/>
      <c r="N63" s="35"/>
    </row>
    <row r="64" spans="1:14" x14ac:dyDescent="0.25">
      <c r="A64" s="5" t="s">
        <v>32</v>
      </c>
      <c r="B64" s="34" t="s">
        <v>97</v>
      </c>
      <c r="C64" s="34"/>
      <c r="D64" s="34"/>
      <c r="E64" s="34"/>
      <c r="F64" s="34"/>
      <c r="G64" s="34"/>
      <c r="H64" s="17" t="s">
        <v>100</v>
      </c>
      <c r="I64" s="19" t="s">
        <v>99</v>
      </c>
      <c r="J64" s="19" t="s">
        <v>99</v>
      </c>
      <c r="K64" s="35"/>
      <c r="L64" s="35"/>
      <c r="M64" s="35"/>
      <c r="N64" s="35"/>
    </row>
    <row r="65" spans="1:14" x14ac:dyDescent="0.25">
      <c r="A65" s="5" t="s">
        <v>33</v>
      </c>
      <c r="B65" s="34"/>
      <c r="C65" s="34"/>
      <c r="D65" s="34"/>
      <c r="E65" s="34"/>
      <c r="F65" s="34"/>
      <c r="G65" s="34"/>
      <c r="H65" s="17"/>
      <c r="I65" s="5"/>
      <c r="J65" s="5"/>
      <c r="K65" s="35"/>
      <c r="L65" s="35"/>
      <c r="M65" s="35"/>
      <c r="N65" s="35"/>
    </row>
    <row r="66" spans="1:14" x14ac:dyDescent="0.25">
      <c r="A66" s="5" t="s">
        <v>34</v>
      </c>
      <c r="B66" s="34"/>
      <c r="C66" s="34"/>
      <c r="D66" s="34"/>
      <c r="E66" s="34"/>
      <c r="F66" s="34"/>
      <c r="G66" s="34"/>
      <c r="H66" s="17"/>
      <c r="I66" s="5"/>
      <c r="J66" s="5"/>
      <c r="K66" s="35"/>
      <c r="L66" s="35"/>
      <c r="M66" s="35"/>
      <c r="N66" s="35"/>
    </row>
    <row r="67" spans="1:14" x14ac:dyDescent="0.25">
      <c r="H67" s="20"/>
    </row>
    <row r="68" spans="1:14" x14ac:dyDescent="0.25">
      <c r="A68" s="8" t="s">
        <v>29</v>
      </c>
      <c r="B68" s="1"/>
      <c r="C68" s="2" t="s">
        <v>14</v>
      </c>
      <c r="D68" s="1"/>
      <c r="E68" s="1"/>
      <c r="F68" s="1"/>
      <c r="G68" s="1"/>
      <c r="H68" s="16"/>
      <c r="I68" s="1"/>
      <c r="J68" s="1"/>
      <c r="K68" s="1"/>
      <c r="L68" s="1"/>
      <c r="M68" s="1"/>
      <c r="N68" s="1"/>
    </row>
    <row r="69" spans="1:14" x14ac:dyDescent="0.25">
      <c r="A69" s="5" t="s">
        <v>30</v>
      </c>
      <c r="B69" s="34"/>
      <c r="C69" s="34"/>
      <c r="D69" s="34"/>
      <c r="E69" s="34"/>
      <c r="F69" s="34"/>
      <c r="G69" s="34"/>
      <c r="H69" s="17"/>
      <c r="I69" s="5"/>
      <c r="J69" s="5"/>
      <c r="K69" s="35"/>
      <c r="L69" s="35"/>
      <c r="M69" s="35"/>
      <c r="N69" s="35"/>
    </row>
    <row r="70" spans="1:14" x14ac:dyDescent="0.25">
      <c r="A70" s="5" t="s">
        <v>31</v>
      </c>
      <c r="B70" s="34"/>
      <c r="C70" s="34"/>
      <c r="D70" s="34"/>
      <c r="E70" s="34"/>
      <c r="F70" s="34"/>
      <c r="G70" s="34"/>
      <c r="H70" s="17"/>
      <c r="I70" s="5"/>
      <c r="J70" s="5"/>
      <c r="K70" s="35"/>
      <c r="L70" s="35"/>
      <c r="M70" s="35"/>
      <c r="N70" s="35"/>
    </row>
    <row r="71" spans="1:14" x14ac:dyDescent="0.25">
      <c r="A71" s="5" t="s">
        <v>32</v>
      </c>
      <c r="B71" s="34"/>
      <c r="C71" s="34"/>
      <c r="D71" s="34"/>
      <c r="E71" s="34"/>
      <c r="F71" s="34"/>
      <c r="G71" s="34"/>
      <c r="H71" s="17"/>
      <c r="I71" s="5"/>
      <c r="J71" s="5"/>
      <c r="K71" s="35"/>
      <c r="L71" s="35"/>
      <c r="M71" s="35"/>
      <c r="N71" s="35"/>
    </row>
    <row r="72" spans="1:14" x14ac:dyDescent="0.25">
      <c r="A72" s="5" t="s">
        <v>33</v>
      </c>
      <c r="B72" s="34"/>
      <c r="C72" s="34"/>
      <c r="D72" s="34"/>
      <c r="E72" s="34"/>
      <c r="F72" s="34"/>
      <c r="G72" s="34"/>
      <c r="H72" s="17"/>
      <c r="I72" s="5"/>
      <c r="J72" s="5"/>
      <c r="K72" s="35"/>
      <c r="L72" s="35"/>
      <c r="M72" s="35"/>
      <c r="N72" s="35"/>
    </row>
    <row r="73" spans="1:14" x14ac:dyDescent="0.25">
      <c r="A73" s="5" t="s">
        <v>34</v>
      </c>
      <c r="B73" s="34"/>
      <c r="C73" s="34"/>
      <c r="D73" s="34"/>
      <c r="E73" s="34"/>
      <c r="F73" s="34"/>
      <c r="G73" s="34"/>
      <c r="H73" s="17"/>
      <c r="I73" s="5"/>
      <c r="J73" s="5"/>
      <c r="K73" s="35"/>
      <c r="L73" s="35"/>
      <c r="M73" s="35"/>
      <c r="N73" s="35"/>
    </row>
    <row r="74" spans="1:14" x14ac:dyDescent="0.25">
      <c r="H74" s="20"/>
    </row>
    <row r="75" spans="1:14" x14ac:dyDescent="0.25">
      <c r="A75" s="8" t="s">
        <v>29</v>
      </c>
      <c r="B75" s="1"/>
      <c r="C75" s="2" t="s">
        <v>23</v>
      </c>
      <c r="D75" s="1"/>
      <c r="E75" s="1"/>
      <c r="F75" s="1"/>
      <c r="G75" s="1"/>
      <c r="H75" s="16"/>
      <c r="I75" s="1"/>
      <c r="J75" s="1"/>
      <c r="K75" s="1"/>
      <c r="L75" s="1"/>
      <c r="M75" s="1"/>
      <c r="N75" s="1"/>
    </row>
    <row r="76" spans="1:14" x14ac:dyDescent="0.25">
      <c r="A76" s="5" t="s">
        <v>30</v>
      </c>
      <c r="B76" s="34" t="s">
        <v>98</v>
      </c>
      <c r="C76" s="34"/>
      <c r="D76" s="34"/>
      <c r="E76" s="34"/>
      <c r="F76" s="34"/>
      <c r="G76" s="34"/>
      <c r="H76" s="17" t="s">
        <v>99</v>
      </c>
      <c r="I76" s="19" t="s">
        <v>99</v>
      </c>
      <c r="J76" s="19" t="s">
        <v>99</v>
      </c>
      <c r="K76" s="35"/>
      <c r="L76" s="35"/>
      <c r="M76" s="35"/>
      <c r="N76" s="35"/>
    </row>
    <row r="77" spans="1:14" x14ac:dyDescent="0.25">
      <c r="A77" s="5" t="s">
        <v>31</v>
      </c>
      <c r="B77" s="34"/>
      <c r="C77" s="34"/>
      <c r="D77" s="34"/>
      <c r="E77" s="34"/>
      <c r="F77" s="34"/>
      <c r="G77" s="34"/>
      <c r="H77" s="5"/>
      <c r="I77" s="5"/>
      <c r="J77" s="5"/>
      <c r="K77" s="35"/>
      <c r="L77" s="35"/>
      <c r="M77" s="35"/>
      <c r="N77" s="35"/>
    </row>
    <row r="78" spans="1:14" x14ac:dyDescent="0.25">
      <c r="A78" s="5" t="s">
        <v>32</v>
      </c>
      <c r="B78" s="34"/>
      <c r="C78" s="34"/>
      <c r="D78" s="34"/>
      <c r="E78" s="34"/>
      <c r="F78" s="34"/>
      <c r="G78" s="34"/>
      <c r="H78" s="5"/>
      <c r="I78" s="5"/>
      <c r="J78" s="5"/>
      <c r="K78" s="35"/>
      <c r="L78" s="35"/>
      <c r="M78" s="35"/>
      <c r="N78" s="35"/>
    </row>
    <row r="79" spans="1:14" x14ac:dyDescent="0.25">
      <c r="A79" s="5" t="s">
        <v>33</v>
      </c>
      <c r="B79" s="34"/>
      <c r="C79" s="34"/>
      <c r="D79" s="34"/>
      <c r="E79" s="34"/>
      <c r="F79" s="34"/>
      <c r="G79" s="34"/>
      <c r="H79" s="5"/>
      <c r="I79" s="5"/>
      <c r="J79" s="5"/>
      <c r="K79" s="35"/>
      <c r="L79" s="35"/>
      <c r="M79" s="35"/>
      <c r="N79" s="35"/>
    </row>
    <row r="80" spans="1:14" x14ac:dyDescent="0.25">
      <c r="A80" s="5" t="s">
        <v>34</v>
      </c>
      <c r="B80" s="34"/>
      <c r="C80" s="34"/>
      <c r="D80" s="34"/>
      <c r="E80" s="34"/>
      <c r="F80" s="34"/>
      <c r="G80" s="34"/>
      <c r="H80" s="5"/>
      <c r="I80" s="5"/>
      <c r="J80" s="5"/>
      <c r="K80" s="35"/>
      <c r="L80" s="35"/>
      <c r="M80" s="35"/>
      <c r="N80" s="35"/>
    </row>
  </sheetData>
  <mergeCells count="108">
    <mergeCell ref="B80:G80"/>
    <mergeCell ref="K80:N80"/>
    <mergeCell ref="B77:G77"/>
    <mergeCell ref="K77:N77"/>
    <mergeCell ref="B78:G78"/>
    <mergeCell ref="K78:N78"/>
    <mergeCell ref="B79:G79"/>
    <mergeCell ref="K79:N79"/>
    <mergeCell ref="B72:G72"/>
    <mergeCell ref="K72:N72"/>
    <mergeCell ref="B73:G73"/>
    <mergeCell ref="K73:N73"/>
    <mergeCell ref="B76:G76"/>
    <mergeCell ref="K76:N76"/>
    <mergeCell ref="B69:G69"/>
    <mergeCell ref="K69:N69"/>
    <mergeCell ref="B70:G70"/>
    <mergeCell ref="K70:N70"/>
    <mergeCell ref="B71:G71"/>
    <mergeCell ref="K71:N71"/>
    <mergeCell ref="B64:G64"/>
    <mergeCell ref="K64:N64"/>
    <mergeCell ref="B65:G65"/>
    <mergeCell ref="K65:N65"/>
    <mergeCell ref="B66:G66"/>
    <mergeCell ref="K66:N66"/>
    <mergeCell ref="B59:G59"/>
    <mergeCell ref="K59:N59"/>
    <mergeCell ref="B62:G62"/>
    <mergeCell ref="K62:N62"/>
    <mergeCell ref="B63:G63"/>
    <mergeCell ref="K63:N63"/>
    <mergeCell ref="B56:G56"/>
    <mergeCell ref="K56:N56"/>
    <mergeCell ref="B57:G57"/>
    <mergeCell ref="K57:N57"/>
    <mergeCell ref="B58:G58"/>
    <mergeCell ref="K58:N58"/>
    <mergeCell ref="B51:G51"/>
    <mergeCell ref="K51:N51"/>
    <mergeCell ref="B52:G52"/>
    <mergeCell ref="K52:N52"/>
    <mergeCell ref="B55:G55"/>
    <mergeCell ref="K55:N55"/>
    <mergeCell ref="B48:G48"/>
    <mergeCell ref="K48:N48"/>
    <mergeCell ref="B49:G49"/>
    <mergeCell ref="K49:N49"/>
    <mergeCell ref="B50:G50"/>
    <mergeCell ref="K50:N50"/>
    <mergeCell ref="B39:G39"/>
    <mergeCell ref="K39:N39"/>
    <mergeCell ref="B40:G40"/>
    <mergeCell ref="K40:N40"/>
    <mergeCell ref="B46:G46"/>
    <mergeCell ref="K46:N46"/>
    <mergeCell ref="B36:G36"/>
    <mergeCell ref="K36:N36"/>
    <mergeCell ref="B37:G37"/>
    <mergeCell ref="K37:N37"/>
    <mergeCell ref="B38:G38"/>
    <mergeCell ref="K38:N38"/>
    <mergeCell ref="B31:G31"/>
    <mergeCell ref="K31:N31"/>
    <mergeCell ref="B32:G32"/>
    <mergeCell ref="K32:N32"/>
    <mergeCell ref="B33:G33"/>
    <mergeCell ref="K33:N33"/>
    <mergeCell ref="B26:G26"/>
    <mergeCell ref="K26:N26"/>
    <mergeCell ref="B29:G29"/>
    <mergeCell ref="K29:N29"/>
    <mergeCell ref="B30:G30"/>
    <mergeCell ref="K30:N30"/>
    <mergeCell ref="B23:G23"/>
    <mergeCell ref="K23:N23"/>
    <mergeCell ref="B24:G24"/>
    <mergeCell ref="K24:N24"/>
    <mergeCell ref="B25:G25"/>
    <mergeCell ref="K25:N25"/>
    <mergeCell ref="B18:G18"/>
    <mergeCell ref="K18:N18"/>
    <mergeCell ref="B19:G19"/>
    <mergeCell ref="K19:N19"/>
    <mergeCell ref="B22:G22"/>
    <mergeCell ref="K22:N22"/>
    <mergeCell ref="B15:G15"/>
    <mergeCell ref="K15:N15"/>
    <mergeCell ref="B16:G16"/>
    <mergeCell ref="K16:N16"/>
    <mergeCell ref="B17:G17"/>
    <mergeCell ref="K17:N17"/>
    <mergeCell ref="B12:G12"/>
    <mergeCell ref="B11:G11"/>
    <mergeCell ref="B10:G10"/>
    <mergeCell ref="R1:S1"/>
    <mergeCell ref="B9:G9"/>
    <mergeCell ref="B8:G8"/>
    <mergeCell ref="K12:N12"/>
    <mergeCell ref="K11:N11"/>
    <mergeCell ref="K10:N10"/>
    <mergeCell ref="K9:N9"/>
    <mergeCell ref="K8:N8"/>
    <mergeCell ref="A1:C1"/>
    <mergeCell ref="D1:K1"/>
    <mergeCell ref="L1:N1"/>
    <mergeCell ref="K6:N6"/>
    <mergeCell ref="B6:G6"/>
  </mergeCells>
  <pageMargins left="0.7" right="0.7" top="0.75" bottom="0.75" header="0.3" footer="0.3"/>
  <pageSetup paperSize="9" scale="4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45A6-B0F5-4949-9627-8C04A036745E}">
  <sheetPr>
    <pageSetUpPr fitToPage="1"/>
  </sheetPr>
  <dimension ref="A1:S80"/>
  <sheetViews>
    <sheetView tabSelected="1" workbookViewId="0">
      <selection activeCell="V81" sqref="A1:V81"/>
    </sheetView>
  </sheetViews>
  <sheetFormatPr defaultRowHeight="15" x14ac:dyDescent="0.25"/>
  <sheetData>
    <row r="1" spans="1:19" ht="76.5" customHeight="1" thickBot="1" x14ac:dyDescent="0.3">
      <c r="A1" s="28"/>
      <c r="B1" s="29"/>
      <c r="C1" s="30"/>
      <c r="D1" s="31" t="s">
        <v>47</v>
      </c>
      <c r="E1" s="32"/>
      <c r="F1" s="32"/>
      <c r="G1" s="32"/>
      <c r="H1" s="32"/>
      <c r="I1" s="32"/>
      <c r="J1" s="32"/>
      <c r="K1" s="33"/>
      <c r="L1" s="23" t="s">
        <v>48</v>
      </c>
      <c r="M1" s="24"/>
      <c r="N1" s="25"/>
      <c r="Q1" s="2" t="s">
        <v>49</v>
      </c>
      <c r="R1" s="22"/>
      <c r="S1" s="22"/>
    </row>
    <row r="4" spans="1:19" x14ac:dyDescent="0.25">
      <c r="A4" s="2" t="s">
        <v>26</v>
      </c>
      <c r="D4" s="1"/>
      <c r="E4" s="1"/>
      <c r="F4" s="1"/>
      <c r="G4" s="1"/>
    </row>
    <row r="5" spans="1:19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9" ht="15.75" thickBot="1" x14ac:dyDescent="0.3">
      <c r="A6" s="3"/>
      <c r="B6" s="36" t="s">
        <v>27</v>
      </c>
      <c r="C6" s="36"/>
      <c r="D6" s="36"/>
      <c r="E6" s="36"/>
      <c r="F6" s="36"/>
      <c r="G6" s="36"/>
      <c r="H6" s="9" t="s">
        <v>20</v>
      </c>
      <c r="I6" s="9" t="s">
        <v>21</v>
      </c>
      <c r="J6" s="9" t="s">
        <v>22</v>
      </c>
      <c r="K6" s="36" t="s">
        <v>28</v>
      </c>
      <c r="L6" s="36"/>
      <c r="M6" s="36"/>
      <c r="N6" s="36"/>
    </row>
    <row r="7" spans="1:19" ht="15.75" thickTop="1" x14ac:dyDescent="0.25">
      <c r="A7" s="8" t="s">
        <v>29</v>
      </c>
      <c r="B7" s="1"/>
      <c r="C7" s="10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9" x14ac:dyDescent="0.25">
      <c r="A8" s="5" t="s">
        <v>30</v>
      </c>
      <c r="B8" s="34" t="s">
        <v>79</v>
      </c>
      <c r="C8" s="34"/>
      <c r="D8" s="34"/>
      <c r="E8" s="34"/>
      <c r="F8" s="34"/>
      <c r="G8" s="34"/>
      <c r="H8" s="17" t="s">
        <v>99</v>
      </c>
      <c r="I8" s="19" t="s">
        <v>99</v>
      </c>
      <c r="J8" s="19" t="s">
        <v>99</v>
      </c>
      <c r="K8" s="35"/>
      <c r="L8" s="35"/>
      <c r="M8" s="35"/>
      <c r="N8" s="35"/>
    </row>
    <row r="9" spans="1:19" x14ac:dyDescent="0.25">
      <c r="A9" s="5" t="s">
        <v>31</v>
      </c>
      <c r="B9" s="34" t="s">
        <v>80</v>
      </c>
      <c r="C9" s="34"/>
      <c r="D9" s="34"/>
      <c r="E9" s="34"/>
      <c r="F9" s="34"/>
      <c r="G9" s="34"/>
      <c r="H9" s="17" t="s">
        <v>100</v>
      </c>
      <c r="I9" s="19" t="s">
        <v>99</v>
      </c>
      <c r="J9" s="17" t="s">
        <v>100</v>
      </c>
      <c r="K9" s="35" t="s">
        <v>103</v>
      </c>
      <c r="L9" s="35"/>
      <c r="M9" s="35"/>
      <c r="N9" s="35"/>
    </row>
    <row r="10" spans="1:19" x14ac:dyDescent="0.25">
      <c r="A10" s="5" t="s">
        <v>32</v>
      </c>
      <c r="B10" s="34" t="s">
        <v>81</v>
      </c>
      <c r="C10" s="34"/>
      <c r="D10" s="34"/>
      <c r="E10" s="34"/>
      <c r="F10" s="34"/>
      <c r="G10" s="34"/>
      <c r="H10" s="17" t="s">
        <v>100</v>
      </c>
      <c r="I10" s="19" t="s">
        <v>99</v>
      </c>
      <c r="J10" s="19" t="s">
        <v>99</v>
      </c>
      <c r="K10" s="35"/>
      <c r="L10" s="35"/>
      <c r="M10" s="35"/>
      <c r="N10" s="35"/>
    </row>
    <row r="11" spans="1:19" x14ac:dyDescent="0.25">
      <c r="A11" s="5" t="s">
        <v>33</v>
      </c>
      <c r="B11" s="34" t="s">
        <v>82</v>
      </c>
      <c r="C11" s="34"/>
      <c r="D11" s="34"/>
      <c r="E11" s="34"/>
      <c r="F11" s="34"/>
      <c r="G11" s="34"/>
      <c r="H11" s="17" t="s">
        <v>100</v>
      </c>
      <c r="I11" s="19" t="s">
        <v>99</v>
      </c>
      <c r="J11" s="19" t="s">
        <v>99</v>
      </c>
      <c r="K11" s="35"/>
      <c r="L11" s="35"/>
      <c r="M11" s="35"/>
      <c r="N11" s="35"/>
    </row>
    <row r="12" spans="1:19" x14ac:dyDescent="0.25">
      <c r="A12" s="5" t="s">
        <v>34</v>
      </c>
      <c r="B12" s="34" t="s">
        <v>83</v>
      </c>
      <c r="C12" s="34"/>
      <c r="D12" s="34"/>
      <c r="E12" s="34"/>
      <c r="F12" s="34"/>
      <c r="G12" s="34"/>
      <c r="H12" s="17" t="s">
        <v>100</v>
      </c>
      <c r="I12" s="19" t="s">
        <v>99</v>
      </c>
      <c r="J12" s="19" t="s">
        <v>99</v>
      </c>
      <c r="K12" s="35"/>
      <c r="L12" s="35"/>
      <c r="M12" s="35"/>
      <c r="N12" s="35"/>
    </row>
    <row r="13" spans="1:19" x14ac:dyDescent="0.25">
      <c r="H13" s="20"/>
    </row>
    <row r="14" spans="1:19" x14ac:dyDescent="0.25">
      <c r="A14" s="8" t="s">
        <v>29</v>
      </c>
      <c r="B14" s="1"/>
      <c r="C14" s="2" t="s">
        <v>17</v>
      </c>
      <c r="D14" s="1"/>
      <c r="E14" s="1"/>
      <c r="F14" s="1"/>
      <c r="G14" s="1"/>
      <c r="H14" s="16"/>
      <c r="I14" s="1"/>
      <c r="J14" s="1"/>
      <c r="K14" s="1"/>
      <c r="L14" s="1"/>
      <c r="M14" s="1"/>
      <c r="N14" s="1"/>
    </row>
    <row r="15" spans="1:19" x14ac:dyDescent="0.25">
      <c r="A15" s="5" t="s">
        <v>30</v>
      </c>
      <c r="B15" s="34" t="s">
        <v>84</v>
      </c>
      <c r="C15" s="34"/>
      <c r="D15" s="34"/>
      <c r="E15" s="34"/>
      <c r="F15" s="34"/>
      <c r="G15" s="34"/>
      <c r="H15" s="17" t="s">
        <v>100</v>
      </c>
      <c r="I15" s="19" t="s">
        <v>99</v>
      </c>
      <c r="J15" s="19" t="s">
        <v>99</v>
      </c>
      <c r="K15" s="35"/>
      <c r="L15" s="35"/>
      <c r="M15" s="35"/>
      <c r="N15" s="35"/>
    </row>
    <row r="16" spans="1:19" x14ac:dyDescent="0.25">
      <c r="A16" s="5" t="s">
        <v>31</v>
      </c>
      <c r="B16" s="34" t="s">
        <v>85</v>
      </c>
      <c r="C16" s="34"/>
      <c r="D16" s="34"/>
      <c r="E16" s="34"/>
      <c r="F16" s="34"/>
      <c r="G16" s="34"/>
      <c r="H16" s="17" t="s">
        <v>100</v>
      </c>
      <c r="I16" s="19" t="s">
        <v>99</v>
      </c>
      <c r="J16" s="17" t="s">
        <v>100</v>
      </c>
      <c r="K16" s="35"/>
      <c r="L16" s="35"/>
      <c r="M16" s="35"/>
      <c r="N16" s="35"/>
    </row>
    <row r="17" spans="1:14" x14ac:dyDescent="0.25">
      <c r="A17" s="5" t="s">
        <v>32</v>
      </c>
      <c r="B17" s="34" t="s">
        <v>86</v>
      </c>
      <c r="C17" s="34"/>
      <c r="D17" s="34"/>
      <c r="E17" s="34"/>
      <c r="F17" s="34"/>
      <c r="G17" s="34"/>
      <c r="H17" s="17" t="s">
        <v>100</v>
      </c>
      <c r="I17" s="19" t="s">
        <v>99</v>
      </c>
      <c r="J17" s="19" t="s">
        <v>99</v>
      </c>
      <c r="K17" s="35"/>
      <c r="L17" s="35"/>
      <c r="M17" s="35"/>
      <c r="N17" s="35"/>
    </row>
    <row r="18" spans="1:14" x14ac:dyDescent="0.25">
      <c r="A18" s="5" t="s">
        <v>33</v>
      </c>
      <c r="B18" s="34" t="s">
        <v>87</v>
      </c>
      <c r="C18" s="34"/>
      <c r="D18" s="34"/>
      <c r="E18" s="34"/>
      <c r="F18" s="34"/>
      <c r="G18" s="34"/>
      <c r="H18" s="17" t="s">
        <v>100</v>
      </c>
      <c r="I18" s="19" t="s">
        <v>99</v>
      </c>
      <c r="J18" s="19" t="s">
        <v>99</v>
      </c>
      <c r="K18" s="35"/>
      <c r="L18" s="35"/>
      <c r="M18" s="35"/>
      <c r="N18" s="35"/>
    </row>
    <row r="19" spans="1:14" x14ac:dyDescent="0.25">
      <c r="A19" s="5" t="s">
        <v>34</v>
      </c>
      <c r="B19" s="34"/>
      <c r="C19" s="34"/>
      <c r="D19" s="34"/>
      <c r="E19" s="34"/>
      <c r="F19" s="34"/>
      <c r="G19" s="34"/>
      <c r="H19" s="17"/>
      <c r="I19" s="5"/>
      <c r="J19" s="5"/>
      <c r="K19" s="35"/>
      <c r="L19" s="35"/>
      <c r="M19" s="35"/>
      <c r="N19" s="35"/>
    </row>
    <row r="20" spans="1:14" x14ac:dyDescent="0.25">
      <c r="H20" s="20"/>
    </row>
    <row r="21" spans="1:14" x14ac:dyDescent="0.25">
      <c r="A21" s="8" t="s">
        <v>29</v>
      </c>
      <c r="B21" s="1"/>
      <c r="C21" s="2" t="s">
        <v>13</v>
      </c>
      <c r="D21" s="1"/>
      <c r="E21" s="1"/>
      <c r="F21" s="1"/>
      <c r="G21" s="1"/>
      <c r="H21" s="16"/>
      <c r="I21" s="1"/>
      <c r="J21" s="1"/>
      <c r="K21" s="1"/>
      <c r="L21" s="1"/>
      <c r="M21" s="1"/>
      <c r="N21" s="1"/>
    </row>
    <row r="22" spans="1:14" x14ac:dyDescent="0.25">
      <c r="A22" s="5" t="s">
        <v>30</v>
      </c>
      <c r="B22" s="34" t="s">
        <v>78</v>
      </c>
      <c r="C22" s="34"/>
      <c r="D22" s="34"/>
      <c r="E22" s="34"/>
      <c r="F22" s="34"/>
      <c r="G22" s="34"/>
      <c r="H22" s="17" t="s">
        <v>100</v>
      </c>
      <c r="I22" s="19" t="s">
        <v>99</v>
      </c>
      <c r="J22" s="19" t="s">
        <v>99</v>
      </c>
      <c r="K22" s="35"/>
      <c r="L22" s="35"/>
      <c r="M22" s="35"/>
      <c r="N22" s="35"/>
    </row>
    <row r="23" spans="1:14" x14ac:dyDescent="0.25">
      <c r="A23" s="5" t="s">
        <v>31</v>
      </c>
      <c r="B23" s="34" t="s">
        <v>88</v>
      </c>
      <c r="C23" s="34"/>
      <c r="D23" s="34"/>
      <c r="E23" s="34"/>
      <c r="F23" s="34"/>
      <c r="G23" s="34"/>
      <c r="H23" s="17" t="s">
        <v>100</v>
      </c>
      <c r="I23" s="19" t="s">
        <v>99</v>
      </c>
      <c r="J23" s="19" t="s">
        <v>99</v>
      </c>
      <c r="K23" s="35"/>
      <c r="L23" s="35"/>
      <c r="M23" s="35"/>
      <c r="N23" s="35"/>
    </row>
    <row r="24" spans="1:14" x14ac:dyDescent="0.25">
      <c r="A24" s="5" t="s">
        <v>32</v>
      </c>
      <c r="B24" s="34" t="s">
        <v>89</v>
      </c>
      <c r="C24" s="34"/>
      <c r="D24" s="34"/>
      <c r="E24" s="34"/>
      <c r="F24" s="34"/>
      <c r="G24" s="34"/>
      <c r="H24" s="17" t="s">
        <v>100</v>
      </c>
      <c r="I24" s="19" t="s">
        <v>99</v>
      </c>
      <c r="J24" s="17" t="s">
        <v>100</v>
      </c>
      <c r="K24" s="35"/>
      <c r="L24" s="35"/>
      <c r="M24" s="35"/>
      <c r="N24" s="35"/>
    </row>
    <row r="25" spans="1:14" x14ac:dyDescent="0.25">
      <c r="A25" s="5" t="s">
        <v>33</v>
      </c>
      <c r="B25" s="34"/>
      <c r="C25" s="34"/>
      <c r="D25" s="34"/>
      <c r="E25" s="34"/>
      <c r="F25" s="34"/>
      <c r="G25" s="34"/>
      <c r="H25" s="17"/>
      <c r="I25" s="19"/>
      <c r="J25" s="5"/>
      <c r="K25" s="35"/>
      <c r="L25" s="35"/>
      <c r="M25" s="35"/>
      <c r="N25" s="35"/>
    </row>
    <row r="26" spans="1:14" x14ac:dyDescent="0.25">
      <c r="A26" s="5" t="s">
        <v>34</v>
      </c>
      <c r="B26" s="34"/>
      <c r="C26" s="34"/>
      <c r="D26" s="34"/>
      <c r="E26" s="34"/>
      <c r="F26" s="34"/>
      <c r="G26" s="34"/>
      <c r="H26" s="17"/>
      <c r="I26" s="5"/>
      <c r="J26" s="5"/>
      <c r="K26" s="35"/>
      <c r="L26" s="35"/>
      <c r="M26" s="35"/>
      <c r="N26" s="35"/>
    </row>
    <row r="27" spans="1:14" x14ac:dyDescent="0.25">
      <c r="H27" s="20"/>
    </row>
    <row r="28" spans="1:14" x14ac:dyDescent="0.25">
      <c r="A28" s="8" t="s">
        <v>29</v>
      </c>
      <c r="B28" s="1"/>
      <c r="C28" s="2" t="s">
        <v>14</v>
      </c>
      <c r="D28" s="1"/>
      <c r="E28" s="1"/>
      <c r="F28" s="1"/>
      <c r="G28" s="1"/>
      <c r="H28" s="16"/>
      <c r="I28" s="1"/>
      <c r="J28" s="1"/>
      <c r="K28" s="1"/>
      <c r="L28" s="1"/>
      <c r="M28" s="1"/>
      <c r="N28" s="1"/>
    </row>
    <row r="29" spans="1:14" x14ac:dyDescent="0.25">
      <c r="A29" s="5" t="s">
        <v>30</v>
      </c>
      <c r="B29" s="34" t="s">
        <v>90</v>
      </c>
      <c r="C29" s="34"/>
      <c r="D29" s="34"/>
      <c r="E29" s="34"/>
      <c r="F29" s="34"/>
      <c r="G29" s="34"/>
      <c r="H29" s="17" t="s">
        <v>99</v>
      </c>
      <c r="I29" s="19" t="s">
        <v>99</v>
      </c>
      <c r="J29" s="19" t="s">
        <v>99</v>
      </c>
      <c r="K29" s="35"/>
      <c r="L29" s="35"/>
      <c r="M29" s="35"/>
      <c r="N29" s="35"/>
    </row>
    <row r="30" spans="1:14" x14ac:dyDescent="0.25">
      <c r="A30" s="5" t="s">
        <v>31</v>
      </c>
      <c r="B30" s="34"/>
      <c r="C30" s="34"/>
      <c r="D30" s="34"/>
      <c r="E30" s="34"/>
      <c r="F30" s="34"/>
      <c r="G30" s="34"/>
      <c r="H30" s="5"/>
      <c r="I30" s="5"/>
      <c r="J30" s="5"/>
      <c r="K30" s="35"/>
      <c r="L30" s="35"/>
      <c r="M30" s="35"/>
      <c r="N30" s="35"/>
    </row>
    <row r="31" spans="1:14" x14ac:dyDescent="0.25">
      <c r="A31" s="5" t="s">
        <v>32</v>
      </c>
      <c r="B31" s="34"/>
      <c r="C31" s="34"/>
      <c r="D31" s="34"/>
      <c r="E31" s="34"/>
      <c r="F31" s="34"/>
      <c r="G31" s="34"/>
      <c r="H31" s="5"/>
      <c r="I31" s="5"/>
      <c r="J31" s="5"/>
      <c r="K31" s="35"/>
      <c r="L31" s="35"/>
      <c r="M31" s="35"/>
      <c r="N31" s="35"/>
    </row>
    <row r="32" spans="1:14" x14ac:dyDescent="0.25">
      <c r="A32" s="5" t="s">
        <v>33</v>
      </c>
      <c r="B32" s="34"/>
      <c r="C32" s="34"/>
      <c r="D32" s="34"/>
      <c r="E32" s="34"/>
      <c r="F32" s="34"/>
      <c r="G32" s="34"/>
      <c r="H32" s="5"/>
      <c r="I32" s="5"/>
      <c r="J32" s="5"/>
      <c r="K32" s="35"/>
      <c r="L32" s="35"/>
      <c r="M32" s="35"/>
      <c r="N32" s="35"/>
    </row>
    <row r="33" spans="1:14" x14ac:dyDescent="0.25">
      <c r="A33" s="5" t="s">
        <v>34</v>
      </c>
      <c r="B33" s="34"/>
      <c r="C33" s="34"/>
      <c r="D33" s="34"/>
      <c r="E33" s="34"/>
      <c r="F33" s="34"/>
      <c r="G33" s="34"/>
      <c r="H33" s="5"/>
      <c r="I33" s="5"/>
      <c r="J33" s="5"/>
      <c r="K33" s="35"/>
      <c r="L33" s="35"/>
      <c r="M33" s="35"/>
      <c r="N33" s="35"/>
    </row>
    <row r="35" spans="1:14" x14ac:dyDescent="0.25">
      <c r="A35" s="8" t="s">
        <v>29</v>
      </c>
      <c r="B35" s="1"/>
      <c r="C35" s="2" t="s">
        <v>23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5" t="s">
        <v>30</v>
      </c>
      <c r="B36" s="34"/>
      <c r="C36" s="34"/>
      <c r="D36" s="34"/>
      <c r="E36" s="34"/>
      <c r="F36" s="34"/>
      <c r="G36" s="34"/>
      <c r="H36" s="5"/>
      <c r="I36" s="5"/>
      <c r="J36" s="5"/>
      <c r="K36" s="35"/>
      <c r="L36" s="35"/>
      <c r="M36" s="35"/>
      <c r="N36" s="35"/>
    </row>
    <row r="37" spans="1:14" x14ac:dyDescent="0.25">
      <c r="A37" s="5" t="s">
        <v>31</v>
      </c>
      <c r="B37" s="34"/>
      <c r="C37" s="34"/>
      <c r="D37" s="34"/>
      <c r="E37" s="34"/>
      <c r="F37" s="34"/>
      <c r="G37" s="34"/>
      <c r="H37" s="5"/>
      <c r="I37" s="5"/>
      <c r="J37" s="5"/>
      <c r="K37" s="35"/>
      <c r="L37" s="35"/>
      <c r="M37" s="35"/>
      <c r="N37" s="35"/>
    </row>
    <row r="38" spans="1:14" x14ac:dyDescent="0.25">
      <c r="A38" s="5" t="s">
        <v>32</v>
      </c>
      <c r="B38" s="34"/>
      <c r="C38" s="34"/>
      <c r="D38" s="34"/>
      <c r="E38" s="34"/>
      <c r="F38" s="34"/>
      <c r="G38" s="34"/>
      <c r="H38" s="5"/>
      <c r="I38" s="5"/>
      <c r="J38" s="5"/>
      <c r="K38" s="35"/>
      <c r="L38" s="35"/>
      <c r="M38" s="35"/>
      <c r="N38" s="35"/>
    </row>
    <row r="39" spans="1:14" x14ac:dyDescent="0.25">
      <c r="A39" s="5" t="s">
        <v>33</v>
      </c>
      <c r="B39" s="34"/>
      <c r="C39" s="34"/>
      <c r="D39" s="34"/>
      <c r="E39" s="34"/>
      <c r="F39" s="34"/>
      <c r="G39" s="34"/>
      <c r="H39" s="5"/>
      <c r="I39" s="5"/>
      <c r="J39" s="5"/>
      <c r="K39" s="35"/>
      <c r="L39" s="35"/>
      <c r="M39" s="35"/>
      <c r="N39" s="35"/>
    </row>
    <row r="40" spans="1:14" x14ac:dyDescent="0.25">
      <c r="A40" s="5" t="s">
        <v>34</v>
      </c>
      <c r="B40" s="34"/>
      <c r="C40" s="34"/>
      <c r="D40" s="34"/>
      <c r="E40" s="34"/>
      <c r="F40" s="34"/>
      <c r="G40" s="34"/>
      <c r="H40" s="5"/>
      <c r="I40" s="5"/>
      <c r="J40" s="5"/>
      <c r="K40" s="35"/>
      <c r="L40" s="35"/>
      <c r="M40" s="35"/>
      <c r="N40" s="35"/>
    </row>
    <row r="44" spans="1:14" x14ac:dyDescent="0.25">
      <c r="A44" s="2" t="s">
        <v>26</v>
      </c>
      <c r="D44" s="1"/>
      <c r="E44" s="1"/>
      <c r="F44" s="1"/>
      <c r="G44" s="1"/>
    </row>
    <row r="45" spans="1:14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thickBot="1" x14ac:dyDescent="0.3">
      <c r="A46" s="3"/>
      <c r="B46" s="36" t="s">
        <v>27</v>
      </c>
      <c r="C46" s="36"/>
      <c r="D46" s="36"/>
      <c r="E46" s="36"/>
      <c r="F46" s="36"/>
      <c r="G46" s="36"/>
      <c r="H46" s="9" t="s">
        <v>20</v>
      </c>
      <c r="I46" s="9" t="s">
        <v>21</v>
      </c>
      <c r="J46" s="9" t="s">
        <v>22</v>
      </c>
      <c r="K46" s="36" t="s">
        <v>28</v>
      </c>
      <c r="L46" s="36"/>
      <c r="M46" s="36"/>
      <c r="N46" s="36"/>
    </row>
    <row r="47" spans="1:14" ht="15.75" thickTop="1" x14ac:dyDescent="0.25">
      <c r="A47" s="8" t="s">
        <v>29</v>
      </c>
      <c r="B47" s="1"/>
      <c r="C47" s="10" t="s">
        <v>16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5" t="s">
        <v>30</v>
      </c>
      <c r="B48" s="34" t="s">
        <v>91</v>
      </c>
      <c r="C48" s="34"/>
      <c r="D48" s="34"/>
      <c r="E48" s="34"/>
      <c r="F48" s="34"/>
      <c r="G48" s="34"/>
      <c r="H48" s="17" t="s">
        <v>100</v>
      </c>
      <c r="I48" s="19" t="s">
        <v>99</v>
      </c>
      <c r="J48" s="17" t="s">
        <v>100</v>
      </c>
      <c r="K48" s="37" t="s">
        <v>103</v>
      </c>
      <c r="L48" s="38"/>
      <c r="M48" s="38"/>
      <c r="N48" s="39"/>
    </row>
    <row r="49" spans="1:14" x14ac:dyDescent="0.25">
      <c r="A49" s="5" t="s">
        <v>31</v>
      </c>
      <c r="B49" s="34" t="s">
        <v>92</v>
      </c>
      <c r="C49" s="34"/>
      <c r="D49" s="34"/>
      <c r="E49" s="34"/>
      <c r="F49" s="34"/>
      <c r="G49" s="34"/>
      <c r="H49" s="17" t="s">
        <v>100</v>
      </c>
      <c r="I49" s="19" t="s">
        <v>99</v>
      </c>
      <c r="J49" s="19" t="s">
        <v>99</v>
      </c>
      <c r="K49" s="37" t="s">
        <v>106</v>
      </c>
      <c r="L49" s="38"/>
      <c r="M49" s="38"/>
      <c r="N49" s="39"/>
    </row>
    <row r="50" spans="1:14" x14ac:dyDescent="0.25">
      <c r="A50" s="5" t="s">
        <v>32</v>
      </c>
      <c r="B50" s="34" t="s">
        <v>92</v>
      </c>
      <c r="C50" s="34"/>
      <c r="D50" s="34"/>
      <c r="E50" s="34"/>
      <c r="F50" s="34"/>
      <c r="G50" s="34"/>
      <c r="H50" s="17" t="s">
        <v>100</v>
      </c>
      <c r="I50" s="19" t="s">
        <v>99</v>
      </c>
      <c r="J50" s="19" t="s">
        <v>99</v>
      </c>
      <c r="K50" s="35"/>
      <c r="L50" s="35"/>
      <c r="M50" s="35"/>
      <c r="N50" s="35"/>
    </row>
    <row r="51" spans="1:14" x14ac:dyDescent="0.25">
      <c r="A51" s="5" t="s">
        <v>33</v>
      </c>
      <c r="B51" s="34" t="s">
        <v>93</v>
      </c>
      <c r="C51" s="34"/>
      <c r="D51" s="34"/>
      <c r="E51" s="34"/>
      <c r="F51" s="34"/>
      <c r="G51" s="34"/>
      <c r="H51" s="17" t="s">
        <v>100</v>
      </c>
      <c r="I51" s="19" t="s">
        <v>99</v>
      </c>
      <c r="J51" s="19" t="s">
        <v>99</v>
      </c>
      <c r="K51" s="35"/>
      <c r="L51" s="35"/>
      <c r="M51" s="35"/>
      <c r="N51" s="35"/>
    </row>
    <row r="52" spans="1:14" x14ac:dyDescent="0.25">
      <c r="A52" s="5" t="s">
        <v>34</v>
      </c>
      <c r="B52" s="34"/>
      <c r="C52" s="34"/>
      <c r="D52" s="34"/>
      <c r="E52" s="34"/>
      <c r="F52" s="34"/>
      <c r="G52" s="34"/>
      <c r="H52" s="17"/>
      <c r="I52" s="5"/>
      <c r="J52" s="5"/>
      <c r="K52" s="35"/>
      <c r="L52" s="35"/>
      <c r="M52" s="35"/>
      <c r="N52" s="35"/>
    </row>
    <row r="53" spans="1:14" x14ac:dyDescent="0.25">
      <c r="H53" s="20"/>
    </row>
    <row r="54" spans="1:14" x14ac:dyDescent="0.25">
      <c r="A54" s="8" t="s">
        <v>29</v>
      </c>
      <c r="B54" s="1"/>
      <c r="C54" s="2" t="s">
        <v>17</v>
      </c>
      <c r="D54" s="1"/>
      <c r="E54" s="1"/>
      <c r="F54" s="1"/>
      <c r="G54" s="1"/>
      <c r="H54" s="16"/>
      <c r="I54" s="1"/>
      <c r="J54" s="1"/>
      <c r="K54" s="1"/>
      <c r="L54" s="1"/>
      <c r="M54" s="1"/>
      <c r="N54" s="1"/>
    </row>
    <row r="55" spans="1:14" x14ac:dyDescent="0.25">
      <c r="A55" s="5" t="s">
        <v>30</v>
      </c>
      <c r="B55" s="34" t="s">
        <v>84</v>
      </c>
      <c r="C55" s="34"/>
      <c r="D55" s="34"/>
      <c r="E55" s="34"/>
      <c r="F55" s="34"/>
      <c r="G55" s="34"/>
      <c r="H55" s="17" t="s">
        <v>100</v>
      </c>
      <c r="I55" s="19" t="s">
        <v>99</v>
      </c>
      <c r="J55" s="19" t="s">
        <v>99</v>
      </c>
      <c r="K55" s="35"/>
      <c r="L55" s="35"/>
      <c r="M55" s="35"/>
      <c r="N55" s="35"/>
    </row>
    <row r="56" spans="1:14" x14ac:dyDescent="0.25">
      <c r="A56" s="5" t="s">
        <v>31</v>
      </c>
      <c r="B56" s="34" t="s">
        <v>94</v>
      </c>
      <c r="C56" s="34"/>
      <c r="D56" s="34"/>
      <c r="E56" s="34"/>
      <c r="F56" s="34"/>
      <c r="G56" s="34"/>
      <c r="H56" s="17" t="s">
        <v>100</v>
      </c>
      <c r="I56" s="19" t="s">
        <v>99</v>
      </c>
      <c r="J56" s="19" t="s">
        <v>99</v>
      </c>
      <c r="K56" s="35"/>
      <c r="L56" s="35"/>
      <c r="M56" s="35"/>
      <c r="N56" s="35"/>
    </row>
    <row r="57" spans="1:14" x14ac:dyDescent="0.25">
      <c r="A57" s="5" t="s">
        <v>32</v>
      </c>
      <c r="B57" s="34" t="s">
        <v>95</v>
      </c>
      <c r="C57" s="34"/>
      <c r="D57" s="34"/>
      <c r="E57" s="34"/>
      <c r="F57" s="34"/>
      <c r="G57" s="34"/>
      <c r="H57" s="17" t="s">
        <v>100</v>
      </c>
      <c r="I57" s="19" t="s">
        <v>99</v>
      </c>
      <c r="J57" s="19" t="s">
        <v>99</v>
      </c>
      <c r="K57" s="35"/>
      <c r="L57" s="35"/>
      <c r="M57" s="35"/>
      <c r="N57" s="35"/>
    </row>
    <row r="58" spans="1:14" x14ac:dyDescent="0.25">
      <c r="A58" s="5" t="s">
        <v>33</v>
      </c>
      <c r="B58" s="34" t="s">
        <v>104</v>
      </c>
      <c r="C58" s="34"/>
      <c r="D58" s="34"/>
      <c r="E58" s="34"/>
      <c r="F58" s="34"/>
      <c r="G58" s="34"/>
      <c r="H58" s="17" t="s">
        <v>100</v>
      </c>
      <c r="I58" s="19" t="s">
        <v>99</v>
      </c>
      <c r="J58" s="19" t="s">
        <v>100</v>
      </c>
      <c r="K58" s="35"/>
      <c r="L58" s="35"/>
      <c r="M58" s="35"/>
      <c r="N58" s="35"/>
    </row>
    <row r="59" spans="1:14" x14ac:dyDescent="0.25">
      <c r="A59" s="5" t="s">
        <v>34</v>
      </c>
      <c r="B59" s="34"/>
      <c r="C59" s="34"/>
      <c r="D59" s="34"/>
      <c r="E59" s="34"/>
      <c r="F59" s="34"/>
      <c r="G59" s="34"/>
      <c r="H59" s="17"/>
      <c r="I59" s="19"/>
      <c r="J59" s="17"/>
      <c r="K59" s="35"/>
      <c r="L59" s="35"/>
      <c r="M59" s="35"/>
      <c r="N59" s="35"/>
    </row>
    <row r="60" spans="1:14" x14ac:dyDescent="0.25">
      <c r="H60" s="20"/>
    </row>
    <row r="61" spans="1:14" x14ac:dyDescent="0.25">
      <c r="A61" s="8" t="s">
        <v>29</v>
      </c>
      <c r="B61" s="1"/>
      <c r="C61" s="2" t="s">
        <v>13</v>
      </c>
      <c r="D61" s="1"/>
      <c r="E61" s="1"/>
      <c r="F61" s="1"/>
      <c r="G61" s="1"/>
      <c r="H61" s="16"/>
      <c r="I61" s="1"/>
      <c r="J61" s="1"/>
      <c r="K61" s="1"/>
      <c r="L61" s="1"/>
      <c r="M61" s="1"/>
      <c r="N61" s="1"/>
    </row>
    <row r="62" spans="1:14" x14ac:dyDescent="0.25">
      <c r="A62" s="5" t="s">
        <v>30</v>
      </c>
      <c r="B62" s="34" t="s">
        <v>78</v>
      </c>
      <c r="C62" s="34"/>
      <c r="D62" s="34"/>
      <c r="E62" s="34"/>
      <c r="F62" s="34"/>
      <c r="G62" s="34"/>
      <c r="H62" s="17" t="s">
        <v>100</v>
      </c>
      <c r="I62" s="19" t="s">
        <v>99</v>
      </c>
      <c r="J62" s="19" t="s">
        <v>99</v>
      </c>
      <c r="K62" s="35"/>
      <c r="L62" s="35"/>
      <c r="M62" s="35"/>
      <c r="N62" s="35"/>
    </row>
    <row r="63" spans="1:14" x14ac:dyDescent="0.25">
      <c r="A63" s="5" t="s">
        <v>31</v>
      </c>
      <c r="B63" s="34" t="s">
        <v>96</v>
      </c>
      <c r="C63" s="34"/>
      <c r="D63" s="34"/>
      <c r="E63" s="34"/>
      <c r="F63" s="34"/>
      <c r="G63" s="34"/>
      <c r="H63" s="17" t="s">
        <v>100</v>
      </c>
      <c r="I63" s="19" t="s">
        <v>99</v>
      </c>
      <c r="J63" s="17" t="s">
        <v>100</v>
      </c>
      <c r="K63" s="35"/>
      <c r="L63" s="35"/>
      <c r="M63" s="35"/>
      <c r="N63" s="35"/>
    </row>
    <row r="64" spans="1:14" x14ac:dyDescent="0.25">
      <c r="A64" s="5" t="s">
        <v>32</v>
      </c>
      <c r="B64" s="34" t="s">
        <v>97</v>
      </c>
      <c r="C64" s="34"/>
      <c r="D64" s="34"/>
      <c r="E64" s="34"/>
      <c r="F64" s="34"/>
      <c r="G64" s="34"/>
      <c r="H64" s="17" t="s">
        <v>100</v>
      </c>
      <c r="I64" s="19" t="s">
        <v>99</v>
      </c>
      <c r="J64" s="19" t="s">
        <v>99</v>
      </c>
      <c r="K64" s="35"/>
      <c r="L64" s="35"/>
      <c r="M64" s="35"/>
      <c r="N64" s="35"/>
    </row>
    <row r="65" spans="1:14" x14ac:dyDescent="0.25">
      <c r="A65" s="5" t="s">
        <v>33</v>
      </c>
      <c r="B65" s="34"/>
      <c r="C65" s="34"/>
      <c r="D65" s="34"/>
      <c r="E65" s="34"/>
      <c r="F65" s="34"/>
      <c r="G65" s="34"/>
      <c r="H65" s="17"/>
      <c r="I65" s="5"/>
      <c r="J65" s="5"/>
      <c r="K65" s="35"/>
      <c r="L65" s="35"/>
      <c r="M65" s="35"/>
      <c r="N65" s="35"/>
    </row>
    <row r="66" spans="1:14" x14ac:dyDescent="0.25">
      <c r="A66" s="5" t="s">
        <v>34</v>
      </c>
      <c r="B66" s="34"/>
      <c r="C66" s="34"/>
      <c r="D66" s="34"/>
      <c r="E66" s="34"/>
      <c r="F66" s="34"/>
      <c r="G66" s="34"/>
      <c r="H66" s="17"/>
      <c r="I66" s="5"/>
      <c r="J66" s="5"/>
      <c r="K66" s="35"/>
      <c r="L66" s="35"/>
      <c r="M66" s="35"/>
      <c r="N66" s="35"/>
    </row>
    <row r="67" spans="1:14" x14ac:dyDescent="0.25">
      <c r="H67" s="20"/>
    </row>
    <row r="68" spans="1:14" x14ac:dyDescent="0.25">
      <c r="A68" s="8" t="s">
        <v>29</v>
      </c>
      <c r="B68" s="1"/>
      <c r="C68" s="2" t="s">
        <v>14</v>
      </c>
      <c r="D68" s="1"/>
      <c r="E68" s="1"/>
      <c r="F68" s="1"/>
      <c r="G68" s="1"/>
      <c r="H68" s="16"/>
      <c r="I68" s="1"/>
      <c r="J68" s="1"/>
      <c r="K68" s="1"/>
      <c r="L68" s="1"/>
      <c r="M68" s="1"/>
      <c r="N68" s="1"/>
    </row>
    <row r="69" spans="1:14" x14ac:dyDescent="0.25">
      <c r="A69" s="5" t="s">
        <v>30</v>
      </c>
      <c r="B69" s="34"/>
      <c r="C69" s="34"/>
      <c r="D69" s="34"/>
      <c r="E69" s="34"/>
      <c r="F69" s="34"/>
      <c r="G69" s="34"/>
      <c r="H69" s="17"/>
      <c r="I69" s="5"/>
      <c r="J69" s="5"/>
      <c r="K69" s="35"/>
      <c r="L69" s="35"/>
      <c r="M69" s="35"/>
      <c r="N69" s="35"/>
    </row>
    <row r="70" spans="1:14" x14ac:dyDescent="0.25">
      <c r="A70" s="5" t="s">
        <v>31</v>
      </c>
      <c r="B70" s="34"/>
      <c r="C70" s="34"/>
      <c r="D70" s="34"/>
      <c r="E70" s="34"/>
      <c r="F70" s="34"/>
      <c r="G70" s="34"/>
      <c r="H70" s="17"/>
      <c r="I70" s="5"/>
      <c r="J70" s="5"/>
      <c r="K70" s="35"/>
      <c r="L70" s="35"/>
      <c r="M70" s="35"/>
      <c r="N70" s="35"/>
    </row>
    <row r="71" spans="1:14" x14ac:dyDescent="0.25">
      <c r="A71" s="5" t="s">
        <v>32</v>
      </c>
      <c r="B71" s="34"/>
      <c r="C71" s="34"/>
      <c r="D71" s="34"/>
      <c r="E71" s="34"/>
      <c r="F71" s="34"/>
      <c r="G71" s="34"/>
      <c r="H71" s="17"/>
      <c r="I71" s="5"/>
      <c r="J71" s="5"/>
      <c r="K71" s="35"/>
      <c r="L71" s="35"/>
      <c r="M71" s="35"/>
      <c r="N71" s="35"/>
    </row>
    <row r="72" spans="1:14" x14ac:dyDescent="0.25">
      <c r="A72" s="5" t="s">
        <v>33</v>
      </c>
      <c r="B72" s="34"/>
      <c r="C72" s="34"/>
      <c r="D72" s="34"/>
      <c r="E72" s="34"/>
      <c r="F72" s="34"/>
      <c r="G72" s="34"/>
      <c r="H72" s="17"/>
      <c r="I72" s="5"/>
      <c r="J72" s="5"/>
      <c r="K72" s="35"/>
      <c r="L72" s="35"/>
      <c r="M72" s="35"/>
      <c r="N72" s="35"/>
    </row>
    <row r="73" spans="1:14" x14ac:dyDescent="0.25">
      <c r="A73" s="5" t="s">
        <v>34</v>
      </c>
      <c r="B73" s="34"/>
      <c r="C73" s="34"/>
      <c r="D73" s="34"/>
      <c r="E73" s="34"/>
      <c r="F73" s="34"/>
      <c r="G73" s="34"/>
      <c r="H73" s="17"/>
      <c r="I73" s="5"/>
      <c r="J73" s="5"/>
      <c r="K73" s="35"/>
      <c r="L73" s="35"/>
      <c r="M73" s="35"/>
      <c r="N73" s="35"/>
    </row>
    <row r="74" spans="1:14" x14ac:dyDescent="0.25">
      <c r="H74" s="20"/>
    </row>
    <row r="75" spans="1:14" x14ac:dyDescent="0.25">
      <c r="A75" s="8" t="s">
        <v>29</v>
      </c>
      <c r="B75" s="1"/>
      <c r="C75" s="2" t="s">
        <v>23</v>
      </c>
      <c r="D75" s="1"/>
      <c r="E75" s="1"/>
      <c r="F75" s="1"/>
      <c r="G75" s="1"/>
      <c r="H75" s="16"/>
      <c r="I75" s="1"/>
      <c r="J75" s="1"/>
      <c r="K75" s="1"/>
      <c r="L75" s="1"/>
      <c r="M75" s="1"/>
      <c r="N75" s="1"/>
    </row>
    <row r="76" spans="1:14" x14ac:dyDescent="0.25">
      <c r="A76" s="5" t="s">
        <v>30</v>
      </c>
      <c r="B76" s="34" t="s">
        <v>98</v>
      </c>
      <c r="C76" s="34"/>
      <c r="D76" s="34"/>
      <c r="E76" s="34"/>
      <c r="F76" s="34"/>
      <c r="G76" s="34"/>
      <c r="H76" s="17" t="s">
        <v>99</v>
      </c>
      <c r="I76" s="19" t="s">
        <v>99</v>
      </c>
      <c r="J76" s="19" t="s">
        <v>99</v>
      </c>
      <c r="K76" s="35"/>
      <c r="L76" s="35"/>
      <c r="M76" s="35"/>
      <c r="N76" s="35"/>
    </row>
    <row r="77" spans="1:14" x14ac:dyDescent="0.25">
      <c r="A77" s="5" t="s">
        <v>31</v>
      </c>
      <c r="B77" s="34"/>
      <c r="C77" s="34"/>
      <c r="D77" s="34"/>
      <c r="E77" s="34"/>
      <c r="F77" s="34"/>
      <c r="G77" s="34"/>
      <c r="H77" s="5"/>
      <c r="I77" s="5"/>
      <c r="J77" s="5"/>
      <c r="K77" s="35"/>
      <c r="L77" s="35"/>
      <c r="M77" s="35"/>
      <c r="N77" s="35"/>
    </row>
    <row r="78" spans="1:14" x14ac:dyDescent="0.25">
      <c r="A78" s="5" t="s">
        <v>32</v>
      </c>
      <c r="B78" s="34"/>
      <c r="C78" s="34"/>
      <c r="D78" s="34"/>
      <c r="E78" s="34"/>
      <c r="F78" s="34"/>
      <c r="G78" s="34"/>
      <c r="H78" s="5"/>
      <c r="I78" s="5"/>
      <c r="J78" s="5"/>
      <c r="K78" s="35"/>
      <c r="L78" s="35"/>
      <c r="M78" s="35"/>
      <c r="N78" s="35"/>
    </row>
    <row r="79" spans="1:14" x14ac:dyDescent="0.25">
      <c r="A79" s="5" t="s">
        <v>33</v>
      </c>
      <c r="B79" s="34"/>
      <c r="C79" s="34"/>
      <c r="D79" s="34"/>
      <c r="E79" s="34"/>
      <c r="F79" s="34"/>
      <c r="G79" s="34"/>
      <c r="H79" s="5"/>
      <c r="I79" s="5"/>
      <c r="J79" s="5"/>
      <c r="K79" s="35"/>
      <c r="L79" s="35"/>
      <c r="M79" s="35"/>
      <c r="N79" s="35"/>
    </row>
    <row r="80" spans="1:14" x14ac:dyDescent="0.25">
      <c r="A80" s="5" t="s">
        <v>34</v>
      </c>
      <c r="B80" s="34"/>
      <c r="C80" s="34"/>
      <c r="D80" s="34"/>
      <c r="E80" s="34"/>
      <c r="F80" s="34"/>
      <c r="G80" s="34"/>
      <c r="H80" s="5"/>
      <c r="I80" s="5"/>
      <c r="J80" s="5"/>
      <c r="K80" s="35"/>
      <c r="L80" s="35"/>
      <c r="M80" s="35"/>
      <c r="N80" s="35"/>
    </row>
  </sheetData>
  <mergeCells count="108">
    <mergeCell ref="B8:G8"/>
    <mergeCell ref="K8:N8"/>
    <mergeCell ref="B9:G9"/>
    <mergeCell ref="K9:N9"/>
    <mergeCell ref="B10:G10"/>
    <mergeCell ref="K10:N10"/>
    <mergeCell ref="A1:C1"/>
    <mergeCell ref="D1:K1"/>
    <mergeCell ref="L1:N1"/>
    <mergeCell ref="B6:G6"/>
    <mergeCell ref="K6:N6"/>
    <mergeCell ref="B16:G16"/>
    <mergeCell ref="K16:N16"/>
    <mergeCell ref="B17:G17"/>
    <mergeCell ref="K17:N17"/>
    <mergeCell ref="B18:G18"/>
    <mergeCell ref="K18:N18"/>
    <mergeCell ref="B11:G11"/>
    <mergeCell ref="K11:N11"/>
    <mergeCell ref="B12:G12"/>
    <mergeCell ref="K12:N12"/>
    <mergeCell ref="B15:G15"/>
    <mergeCell ref="K15:N15"/>
    <mergeCell ref="B24:G24"/>
    <mergeCell ref="K24:N24"/>
    <mergeCell ref="B25:G25"/>
    <mergeCell ref="K25:N25"/>
    <mergeCell ref="B26:G26"/>
    <mergeCell ref="K26:N26"/>
    <mergeCell ref="B19:G19"/>
    <mergeCell ref="K19:N19"/>
    <mergeCell ref="B22:G22"/>
    <mergeCell ref="K22:N22"/>
    <mergeCell ref="B23:G23"/>
    <mergeCell ref="K23:N23"/>
    <mergeCell ref="B32:G32"/>
    <mergeCell ref="K32:N32"/>
    <mergeCell ref="B33:G33"/>
    <mergeCell ref="K33:N33"/>
    <mergeCell ref="B36:G36"/>
    <mergeCell ref="K36:N36"/>
    <mergeCell ref="B29:G29"/>
    <mergeCell ref="K29:N29"/>
    <mergeCell ref="B30:G30"/>
    <mergeCell ref="K30:N30"/>
    <mergeCell ref="B31:G31"/>
    <mergeCell ref="K31:N31"/>
    <mergeCell ref="B40:G40"/>
    <mergeCell ref="K40:N40"/>
    <mergeCell ref="B46:G46"/>
    <mergeCell ref="K46:N46"/>
    <mergeCell ref="B48:G48"/>
    <mergeCell ref="K48:N48"/>
    <mergeCell ref="B37:G37"/>
    <mergeCell ref="K37:N37"/>
    <mergeCell ref="B38:G38"/>
    <mergeCell ref="K38:N38"/>
    <mergeCell ref="B39:G39"/>
    <mergeCell ref="K39:N39"/>
    <mergeCell ref="B52:G52"/>
    <mergeCell ref="K52:N52"/>
    <mergeCell ref="B55:G55"/>
    <mergeCell ref="K55:N55"/>
    <mergeCell ref="B56:G56"/>
    <mergeCell ref="K56:N56"/>
    <mergeCell ref="B49:G49"/>
    <mergeCell ref="K49:N49"/>
    <mergeCell ref="B50:G50"/>
    <mergeCell ref="K50:N50"/>
    <mergeCell ref="B51:G51"/>
    <mergeCell ref="K51:N51"/>
    <mergeCell ref="K69:N69"/>
    <mergeCell ref="B62:G62"/>
    <mergeCell ref="K62:N62"/>
    <mergeCell ref="B63:G63"/>
    <mergeCell ref="K63:N63"/>
    <mergeCell ref="B64:G64"/>
    <mergeCell ref="K64:N64"/>
    <mergeCell ref="B57:G57"/>
    <mergeCell ref="K57:N57"/>
    <mergeCell ref="B58:G58"/>
    <mergeCell ref="K58:N58"/>
    <mergeCell ref="B59:G59"/>
    <mergeCell ref="K59:N59"/>
    <mergeCell ref="R1:S1"/>
    <mergeCell ref="B78:G78"/>
    <mergeCell ref="K78:N78"/>
    <mergeCell ref="B79:G79"/>
    <mergeCell ref="K79:N79"/>
    <mergeCell ref="B80:G80"/>
    <mergeCell ref="K80:N80"/>
    <mergeCell ref="B73:G73"/>
    <mergeCell ref="K73:N73"/>
    <mergeCell ref="B76:G76"/>
    <mergeCell ref="K76:N76"/>
    <mergeCell ref="B77:G77"/>
    <mergeCell ref="K77:N77"/>
    <mergeCell ref="B70:G70"/>
    <mergeCell ref="K70:N70"/>
    <mergeCell ref="B71:G71"/>
    <mergeCell ref="K71:N71"/>
    <mergeCell ref="B72:G72"/>
    <mergeCell ref="K72:N72"/>
    <mergeCell ref="B65:G65"/>
    <mergeCell ref="K65:N65"/>
    <mergeCell ref="B66:G66"/>
    <mergeCell ref="K66:N66"/>
    <mergeCell ref="B69:G69"/>
  </mergeCells>
  <phoneticPr fontId="3" type="noConversion"/>
  <pageMargins left="0.7" right="0.7" top="0.75" bottom="0.75" header="0.3" footer="0.3"/>
  <pageSetup paperSize="9" scale="4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B128-7248-4FDB-88EA-9543CF97B1D1}">
  <sheetPr>
    <pageSetUpPr fitToPage="1"/>
  </sheetPr>
  <dimension ref="A1:V79"/>
  <sheetViews>
    <sheetView tabSelected="1" workbookViewId="0">
      <selection activeCell="V81" sqref="A1:V81"/>
    </sheetView>
  </sheetViews>
  <sheetFormatPr defaultRowHeight="15" x14ac:dyDescent="0.25"/>
  <cols>
    <col min="1" max="1" width="9.28515625" customWidth="1"/>
    <col min="7" max="8" width="9.42578125" customWidth="1"/>
    <col min="10" max="11" width="10.5703125" customWidth="1"/>
    <col min="13" max="13" width="9.7109375" bestFit="1" customWidth="1"/>
  </cols>
  <sheetData>
    <row r="1" spans="1:22" ht="76.5" customHeight="1" thickBot="1" x14ac:dyDescent="0.3">
      <c r="A1" s="28"/>
      <c r="B1" s="29"/>
      <c r="C1" s="30"/>
      <c r="D1" s="31" t="s">
        <v>47</v>
      </c>
      <c r="E1" s="32"/>
      <c r="F1" s="32"/>
      <c r="G1" s="32"/>
      <c r="H1" s="32"/>
      <c r="I1" s="32"/>
      <c r="J1" s="32"/>
      <c r="K1" s="33"/>
      <c r="L1" s="23" t="s">
        <v>48</v>
      </c>
      <c r="M1" s="24"/>
      <c r="N1" s="25"/>
      <c r="Q1" s="2" t="s">
        <v>49</v>
      </c>
      <c r="R1" s="22"/>
      <c r="S1" s="22"/>
    </row>
    <row r="3" spans="1:22" x14ac:dyDescent="0.25">
      <c r="A3" s="2" t="s">
        <v>26</v>
      </c>
      <c r="D3" s="1" t="s">
        <v>101</v>
      </c>
      <c r="E3" s="1"/>
      <c r="F3" s="1"/>
      <c r="G3" s="1"/>
    </row>
    <row r="5" spans="1:22" ht="15.75" customHeight="1" thickBot="1" x14ac:dyDescent="0.3">
      <c r="A5" s="3"/>
      <c r="B5" s="3"/>
      <c r="C5" s="3"/>
      <c r="D5" s="3" t="s">
        <v>42</v>
      </c>
      <c r="E5" s="3" t="s">
        <v>43</v>
      </c>
      <c r="F5" s="12" t="s">
        <v>41</v>
      </c>
      <c r="G5" s="3" t="s">
        <v>44</v>
      </c>
      <c r="H5" s="3"/>
      <c r="I5" s="3"/>
      <c r="J5" s="3" t="s">
        <v>45</v>
      </c>
      <c r="K5" s="3"/>
      <c r="L5" s="3"/>
      <c r="M5" s="3" t="s">
        <v>50</v>
      </c>
      <c r="N5" s="3"/>
      <c r="Q5" s="40" t="s">
        <v>51</v>
      </c>
      <c r="R5" s="40"/>
      <c r="S5" s="40"/>
      <c r="T5" s="40"/>
      <c r="U5" s="40"/>
      <c r="V5" s="40"/>
    </row>
    <row r="6" spans="1:22" ht="16.5" thickTop="1" thickBot="1" x14ac:dyDescent="0.3">
      <c r="A6" s="11" t="s">
        <v>35</v>
      </c>
      <c r="B6" s="11"/>
      <c r="C6" s="13" t="s">
        <v>16</v>
      </c>
      <c r="Q6" s="40"/>
      <c r="R6" s="40"/>
      <c r="S6" s="40"/>
      <c r="T6" s="40"/>
      <c r="U6" s="40"/>
      <c r="V6" s="40"/>
    </row>
    <row r="7" spans="1:22" ht="15.75" thickBot="1" x14ac:dyDescent="0.3">
      <c r="A7" s="35" t="s">
        <v>36</v>
      </c>
      <c r="B7" s="35"/>
      <c r="C7" s="35"/>
      <c r="D7" s="5">
        <v>52</v>
      </c>
      <c r="E7" s="5">
        <v>71</v>
      </c>
      <c r="F7">
        <f>AVERAGE(D7:E7)</f>
        <v>61.5</v>
      </c>
      <c r="G7" s="41">
        <f>F7*10</f>
        <v>615</v>
      </c>
      <c r="H7" s="41"/>
      <c r="J7" s="42" t="s">
        <v>108</v>
      </c>
      <c r="K7" s="42"/>
      <c r="M7" s="14">
        <f>G8+G9+G10+G11</f>
        <v>385</v>
      </c>
      <c r="Q7" s="15"/>
      <c r="R7" s="15"/>
      <c r="S7" s="15"/>
      <c r="T7" s="15"/>
      <c r="U7" s="15"/>
      <c r="V7" s="15"/>
    </row>
    <row r="8" spans="1:22" x14ac:dyDescent="0.25">
      <c r="A8" s="35" t="s">
        <v>37</v>
      </c>
      <c r="B8" s="35"/>
      <c r="C8" s="35"/>
      <c r="D8" s="5">
        <v>8</v>
      </c>
      <c r="E8" s="5">
        <v>25</v>
      </c>
      <c r="F8">
        <f t="shared" ref="F8:F28" si="0">AVERAGE(D8:E8)</f>
        <v>16.5</v>
      </c>
      <c r="G8" s="41">
        <f t="shared" ref="G8:G11" si="1">F8*10</f>
        <v>165</v>
      </c>
      <c r="H8" s="41"/>
      <c r="J8" s="42" t="s">
        <v>109</v>
      </c>
      <c r="K8" s="42"/>
    </row>
    <row r="9" spans="1:22" x14ac:dyDescent="0.25">
      <c r="A9" s="35" t="s">
        <v>38</v>
      </c>
      <c r="B9" s="35"/>
      <c r="C9" s="35"/>
      <c r="D9" s="5">
        <v>6</v>
      </c>
      <c r="E9" s="5">
        <v>7</v>
      </c>
      <c r="F9">
        <f t="shared" si="0"/>
        <v>6.5</v>
      </c>
      <c r="G9" s="41">
        <f t="shared" si="1"/>
        <v>65</v>
      </c>
      <c r="H9" s="41"/>
      <c r="J9" s="42" t="s">
        <v>110</v>
      </c>
      <c r="K9" s="42"/>
    </row>
    <row r="10" spans="1:22" x14ac:dyDescent="0.25">
      <c r="A10" s="35" t="s">
        <v>39</v>
      </c>
      <c r="B10" s="35"/>
      <c r="C10" s="35"/>
      <c r="D10" s="5">
        <v>11</v>
      </c>
      <c r="E10" s="5">
        <v>5</v>
      </c>
      <c r="F10">
        <f t="shared" si="0"/>
        <v>8</v>
      </c>
      <c r="G10" s="41">
        <f t="shared" si="1"/>
        <v>80</v>
      </c>
      <c r="H10" s="41"/>
      <c r="J10" s="42" t="s">
        <v>111</v>
      </c>
      <c r="K10" s="42"/>
    </row>
    <row r="11" spans="1:22" x14ac:dyDescent="0.25">
      <c r="A11" s="35" t="s">
        <v>40</v>
      </c>
      <c r="B11" s="35"/>
      <c r="C11" s="35"/>
      <c r="D11" s="5">
        <v>5</v>
      </c>
      <c r="E11" s="5">
        <v>10</v>
      </c>
      <c r="F11">
        <f t="shared" si="0"/>
        <v>7.5</v>
      </c>
      <c r="G11" s="41">
        <f t="shared" si="1"/>
        <v>75</v>
      </c>
      <c r="H11" s="41"/>
      <c r="J11" s="42" t="s">
        <v>111</v>
      </c>
      <c r="K11" s="42"/>
    </row>
    <row r="13" spans="1:22" x14ac:dyDescent="0.25">
      <c r="A13" s="11" t="s">
        <v>35</v>
      </c>
      <c r="B13" s="11"/>
      <c r="C13" s="13" t="s">
        <v>17</v>
      </c>
    </row>
    <row r="14" spans="1:22" x14ac:dyDescent="0.25">
      <c r="A14" s="35" t="s">
        <v>36</v>
      </c>
      <c r="B14" s="35"/>
      <c r="C14" s="35"/>
      <c r="D14" s="5">
        <v>3</v>
      </c>
      <c r="E14" s="5">
        <v>1</v>
      </c>
      <c r="F14">
        <f t="shared" si="0"/>
        <v>2</v>
      </c>
      <c r="G14" s="41">
        <f>F14*10</f>
        <v>20</v>
      </c>
      <c r="H14" s="41"/>
      <c r="J14" s="42" t="s">
        <v>110</v>
      </c>
      <c r="K14" s="42"/>
    </row>
    <row r="15" spans="1:22" x14ac:dyDescent="0.25">
      <c r="A15" s="35" t="s">
        <v>37</v>
      </c>
      <c r="B15" s="35"/>
      <c r="C15" s="35"/>
      <c r="D15" s="5">
        <v>5</v>
      </c>
      <c r="E15" s="5">
        <v>5</v>
      </c>
      <c r="F15">
        <f t="shared" si="0"/>
        <v>5</v>
      </c>
      <c r="G15" s="41">
        <f t="shared" ref="G15:G17" si="2">F15*10</f>
        <v>50</v>
      </c>
      <c r="H15" s="41"/>
      <c r="J15" s="42" t="s">
        <v>109</v>
      </c>
      <c r="K15" s="42"/>
    </row>
    <row r="16" spans="1:22" x14ac:dyDescent="0.25">
      <c r="A16" s="35" t="s">
        <v>38</v>
      </c>
      <c r="B16" s="35"/>
      <c r="C16" s="35"/>
      <c r="D16" s="5">
        <v>13</v>
      </c>
      <c r="E16" s="5">
        <v>8</v>
      </c>
      <c r="F16">
        <f t="shared" si="0"/>
        <v>10.5</v>
      </c>
      <c r="G16" s="41">
        <f t="shared" si="2"/>
        <v>105</v>
      </c>
      <c r="H16" s="41"/>
      <c r="J16" s="42" t="s">
        <v>111</v>
      </c>
      <c r="K16" s="42"/>
    </row>
    <row r="17" spans="1:11" x14ac:dyDescent="0.25">
      <c r="A17" s="35" t="s">
        <v>39</v>
      </c>
      <c r="B17" s="35"/>
      <c r="C17" s="35"/>
      <c r="D17" s="5">
        <v>3</v>
      </c>
      <c r="E17" s="5">
        <v>0</v>
      </c>
      <c r="F17">
        <f t="shared" si="0"/>
        <v>1.5</v>
      </c>
      <c r="G17" s="41">
        <f t="shared" si="2"/>
        <v>15</v>
      </c>
      <c r="H17" s="41"/>
      <c r="J17" s="42" t="s">
        <v>111</v>
      </c>
      <c r="K17" s="42"/>
    </row>
    <row r="18" spans="1:11" x14ac:dyDescent="0.25">
      <c r="A18" s="35" t="s">
        <v>40</v>
      </c>
      <c r="B18" s="35"/>
      <c r="C18" s="35"/>
      <c r="D18" s="5"/>
      <c r="E18" s="5"/>
      <c r="G18" s="41"/>
      <c r="H18" s="41"/>
      <c r="J18" s="42"/>
      <c r="K18" s="42"/>
    </row>
    <row r="20" spans="1:11" x14ac:dyDescent="0.25">
      <c r="A20" s="11" t="s">
        <v>35</v>
      </c>
      <c r="B20" s="11"/>
      <c r="C20" s="13" t="s">
        <v>13</v>
      </c>
    </row>
    <row r="21" spans="1:11" x14ac:dyDescent="0.25">
      <c r="A21" s="35" t="s">
        <v>36</v>
      </c>
      <c r="B21" s="35"/>
      <c r="C21" s="35"/>
      <c r="D21" s="5">
        <v>3</v>
      </c>
      <c r="E21" s="5">
        <v>2</v>
      </c>
      <c r="F21">
        <f t="shared" si="0"/>
        <v>2.5</v>
      </c>
      <c r="G21" s="41">
        <f>F21*10</f>
        <v>25</v>
      </c>
      <c r="H21" s="41"/>
      <c r="J21" s="42" t="s">
        <v>110</v>
      </c>
      <c r="K21" s="42"/>
    </row>
    <row r="22" spans="1:11" x14ac:dyDescent="0.25">
      <c r="A22" s="35" t="s">
        <v>37</v>
      </c>
      <c r="B22" s="35"/>
      <c r="C22" s="35"/>
      <c r="D22" s="5">
        <v>11</v>
      </c>
      <c r="E22" s="5">
        <v>8</v>
      </c>
      <c r="F22">
        <f t="shared" si="0"/>
        <v>9.5</v>
      </c>
      <c r="G22" s="41">
        <f t="shared" ref="G22:G23" si="3">F22*10</f>
        <v>95</v>
      </c>
      <c r="H22" s="41"/>
      <c r="J22" s="42" t="s">
        <v>111</v>
      </c>
      <c r="K22" s="42"/>
    </row>
    <row r="23" spans="1:11" x14ac:dyDescent="0.25">
      <c r="A23" s="35" t="s">
        <v>38</v>
      </c>
      <c r="B23" s="35"/>
      <c r="C23" s="35"/>
      <c r="D23" s="5">
        <v>9</v>
      </c>
      <c r="E23" s="5">
        <v>5</v>
      </c>
      <c r="F23">
        <f t="shared" si="0"/>
        <v>7</v>
      </c>
      <c r="G23" s="41">
        <f t="shared" si="3"/>
        <v>70</v>
      </c>
      <c r="H23" s="41"/>
      <c r="J23" s="42" t="s">
        <v>109</v>
      </c>
      <c r="K23" s="42"/>
    </row>
    <row r="24" spans="1:11" x14ac:dyDescent="0.25">
      <c r="A24" s="35" t="s">
        <v>39</v>
      </c>
      <c r="B24" s="35"/>
      <c r="C24" s="35"/>
      <c r="D24" s="5"/>
      <c r="E24" s="5"/>
      <c r="G24" s="41"/>
      <c r="H24" s="41"/>
      <c r="J24" s="42"/>
      <c r="K24" s="42"/>
    </row>
    <row r="25" spans="1:11" x14ac:dyDescent="0.25">
      <c r="A25" s="35" t="s">
        <v>40</v>
      </c>
      <c r="B25" s="35"/>
      <c r="C25" s="35"/>
      <c r="D25" s="5"/>
      <c r="E25" s="5"/>
      <c r="G25" s="41"/>
      <c r="H25" s="41"/>
      <c r="J25" s="42"/>
      <c r="K25" s="42"/>
    </row>
    <row r="27" spans="1:11" x14ac:dyDescent="0.25">
      <c r="A27" s="11" t="s">
        <v>35</v>
      </c>
      <c r="B27" s="11"/>
      <c r="C27" s="13" t="s">
        <v>14</v>
      </c>
    </row>
    <row r="28" spans="1:11" x14ac:dyDescent="0.25">
      <c r="A28" s="35" t="s">
        <v>36</v>
      </c>
      <c r="B28" s="35"/>
      <c r="C28" s="35"/>
      <c r="D28" s="5">
        <v>79</v>
      </c>
      <c r="E28" s="5">
        <v>80</v>
      </c>
      <c r="F28">
        <f t="shared" si="0"/>
        <v>79.5</v>
      </c>
      <c r="G28" s="41">
        <f>F28*10</f>
        <v>795</v>
      </c>
      <c r="H28" s="41"/>
      <c r="J28" s="22" t="s">
        <v>108</v>
      </c>
      <c r="K28" s="22"/>
    </row>
    <row r="29" spans="1:11" x14ac:dyDescent="0.25">
      <c r="A29" s="35" t="s">
        <v>37</v>
      </c>
      <c r="B29" s="35"/>
      <c r="C29" s="35"/>
      <c r="D29" s="5"/>
      <c r="E29" s="5"/>
      <c r="G29" s="41"/>
      <c r="H29" s="41"/>
      <c r="J29" s="38"/>
      <c r="K29" s="38"/>
    </row>
    <row r="30" spans="1:11" x14ac:dyDescent="0.25">
      <c r="A30" s="35" t="s">
        <v>38</v>
      </c>
      <c r="B30" s="35"/>
      <c r="C30" s="35"/>
      <c r="D30" s="5"/>
      <c r="E30" s="5"/>
      <c r="G30" s="41"/>
      <c r="H30" s="41"/>
      <c r="J30" s="22"/>
      <c r="K30" s="22"/>
    </row>
    <row r="31" spans="1:11" x14ac:dyDescent="0.25">
      <c r="A31" s="35" t="s">
        <v>39</v>
      </c>
      <c r="B31" s="35"/>
      <c r="C31" s="35"/>
      <c r="D31" s="5"/>
      <c r="E31" s="5"/>
      <c r="G31" s="41"/>
      <c r="H31" s="41"/>
      <c r="J31" s="22"/>
      <c r="K31" s="22"/>
    </row>
    <row r="32" spans="1:11" x14ac:dyDescent="0.25">
      <c r="A32" s="35" t="s">
        <v>40</v>
      </c>
      <c r="B32" s="35"/>
      <c r="C32" s="35"/>
      <c r="D32" s="5"/>
      <c r="E32" s="5"/>
      <c r="G32" s="41"/>
      <c r="H32" s="41"/>
      <c r="J32" s="22"/>
      <c r="K32" s="22"/>
    </row>
    <row r="34" spans="1:14" x14ac:dyDescent="0.25">
      <c r="A34" s="11" t="s">
        <v>35</v>
      </c>
      <c r="B34" s="11"/>
      <c r="C34" s="13" t="s">
        <v>23</v>
      </c>
    </row>
    <row r="35" spans="1:14" x14ac:dyDescent="0.25">
      <c r="A35" s="35" t="s">
        <v>36</v>
      </c>
      <c r="B35" s="35"/>
      <c r="C35" s="35"/>
      <c r="D35" s="5"/>
      <c r="E35" s="5"/>
      <c r="G35" s="41"/>
      <c r="H35" s="41"/>
      <c r="J35" s="22"/>
      <c r="K35" s="22"/>
    </row>
    <row r="36" spans="1:14" x14ac:dyDescent="0.25">
      <c r="A36" s="35" t="s">
        <v>37</v>
      </c>
      <c r="B36" s="35"/>
      <c r="C36" s="35"/>
      <c r="D36" s="5"/>
      <c r="E36" s="5"/>
      <c r="G36" s="41"/>
      <c r="H36" s="41"/>
      <c r="J36" s="22"/>
      <c r="K36" s="22"/>
    </row>
    <row r="37" spans="1:14" x14ac:dyDescent="0.25">
      <c r="A37" s="35" t="s">
        <v>38</v>
      </c>
      <c r="B37" s="35"/>
      <c r="C37" s="35"/>
      <c r="D37" s="5"/>
      <c r="E37" s="5"/>
      <c r="G37" s="41"/>
      <c r="H37" s="41"/>
      <c r="J37" s="22"/>
      <c r="K37" s="22"/>
    </row>
    <row r="38" spans="1:14" x14ac:dyDescent="0.25">
      <c r="A38" s="35" t="s">
        <v>39</v>
      </c>
      <c r="B38" s="35"/>
      <c r="C38" s="35"/>
      <c r="D38" s="5"/>
      <c r="E38" s="5"/>
      <c r="G38" s="41"/>
      <c r="H38" s="41"/>
      <c r="J38" s="22"/>
      <c r="K38" s="22"/>
    </row>
    <row r="39" spans="1:14" x14ac:dyDescent="0.25">
      <c r="A39" s="35" t="s">
        <v>40</v>
      </c>
      <c r="B39" s="35"/>
      <c r="C39" s="35"/>
      <c r="D39" s="5"/>
      <c r="E39" s="5"/>
      <c r="G39" s="41"/>
      <c r="H39" s="41"/>
      <c r="J39" s="22"/>
      <c r="K39" s="22"/>
    </row>
    <row r="43" spans="1:14" x14ac:dyDescent="0.25">
      <c r="A43" s="2" t="s">
        <v>26</v>
      </c>
      <c r="D43" s="1" t="s">
        <v>102</v>
      </c>
      <c r="E43" s="1"/>
      <c r="F43" s="1"/>
      <c r="G43" s="1"/>
    </row>
    <row r="45" spans="1:14" ht="15.75" thickBot="1" x14ac:dyDescent="0.3">
      <c r="A45" s="3"/>
      <c r="B45" s="3"/>
      <c r="C45" s="3"/>
      <c r="D45" s="3" t="s">
        <v>42</v>
      </c>
      <c r="E45" s="3" t="s">
        <v>43</v>
      </c>
      <c r="F45" s="12" t="s">
        <v>41</v>
      </c>
      <c r="G45" s="3" t="s">
        <v>44</v>
      </c>
      <c r="H45" s="3"/>
      <c r="I45" s="3"/>
      <c r="J45" s="3" t="s">
        <v>45</v>
      </c>
      <c r="K45" s="3"/>
      <c r="L45" s="3"/>
      <c r="M45" s="3" t="s">
        <v>46</v>
      </c>
      <c r="N45" s="3"/>
    </row>
    <row r="46" spans="1:14" ht="16.5" thickTop="1" thickBot="1" x14ac:dyDescent="0.3">
      <c r="A46" s="11" t="s">
        <v>35</v>
      </c>
      <c r="B46" s="11"/>
      <c r="C46" s="13" t="s">
        <v>16</v>
      </c>
    </row>
    <row r="47" spans="1:14" ht="15.75" thickBot="1" x14ac:dyDescent="0.3">
      <c r="A47" s="35" t="s">
        <v>107</v>
      </c>
      <c r="B47" s="35"/>
      <c r="C47" s="35"/>
      <c r="D47" s="5">
        <v>29</v>
      </c>
      <c r="E47" s="5">
        <v>27</v>
      </c>
      <c r="F47">
        <f>AVERAGE(D47:E47)</f>
        <v>28</v>
      </c>
      <c r="G47" s="41">
        <f>F47*10</f>
        <v>280</v>
      </c>
      <c r="H47" s="41"/>
      <c r="J47" s="42" t="s">
        <v>109</v>
      </c>
      <c r="K47" s="42"/>
      <c r="M47" s="14">
        <f>G47+G48+G49</f>
        <v>720</v>
      </c>
    </row>
    <row r="48" spans="1:14" x14ac:dyDescent="0.25">
      <c r="A48" s="35" t="s">
        <v>37</v>
      </c>
      <c r="B48" s="35"/>
      <c r="C48" s="35"/>
      <c r="D48" s="5">
        <v>53</v>
      </c>
      <c r="E48" s="5">
        <v>11</v>
      </c>
      <c r="F48">
        <f t="shared" ref="F48:F75" si="4">AVERAGE(D48:E48)</f>
        <v>32</v>
      </c>
      <c r="G48" s="41">
        <f t="shared" ref="G48:G49" si="5">F48*10</f>
        <v>320</v>
      </c>
      <c r="H48" s="41"/>
      <c r="J48" s="42" t="s">
        <v>112</v>
      </c>
      <c r="K48" s="42"/>
    </row>
    <row r="49" spans="1:11" x14ac:dyDescent="0.25">
      <c r="A49" s="35" t="s">
        <v>38</v>
      </c>
      <c r="B49" s="35"/>
      <c r="C49" s="35"/>
      <c r="D49" s="5">
        <v>15</v>
      </c>
      <c r="E49" s="5">
        <v>9</v>
      </c>
      <c r="F49">
        <f t="shared" si="4"/>
        <v>12</v>
      </c>
      <c r="G49" s="41">
        <f t="shared" si="5"/>
        <v>120</v>
      </c>
      <c r="H49" s="41"/>
      <c r="J49" s="42" t="s">
        <v>110</v>
      </c>
      <c r="K49" s="42"/>
    </row>
    <row r="50" spans="1:11" x14ac:dyDescent="0.25">
      <c r="A50" s="35" t="s">
        <v>39</v>
      </c>
      <c r="B50" s="35"/>
      <c r="C50" s="35"/>
      <c r="D50" s="5"/>
      <c r="E50" s="5"/>
      <c r="G50" s="41"/>
      <c r="H50" s="41"/>
      <c r="J50" s="42"/>
      <c r="K50" s="42"/>
    </row>
    <row r="51" spans="1:11" x14ac:dyDescent="0.25">
      <c r="A51" s="35" t="s">
        <v>40</v>
      </c>
      <c r="B51" s="35"/>
      <c r="C51" s="35"/>
      <c r="D51" s="5"/>
      <c r="E51" s="5"/>
      <c r="G51" s="41"/>
      <c r="H51" s="41"/>
      <c r="J51" s="42"/>
      <c r="K51" s="42"/>
    </row>
    <row r="52" spans="1:11" x14ac:dyDescent="0.25">
      <c r="J52" s="21"/>
      <c r="K52" s="21"/>
    </row>
    <row r="53" spans="1:11" x14ac:dyDescent="0.25">
      <c r="A53" s="11" t="s">
        <v>35</v>
      </c>
      <c r="B53" s="11"/>
      <c r="C53" s="13" t="s">
        <v>17</v>
      </c>
      <c r="J53" s="21"/>
      <c r="K53" s="21"/>
    </row>
    <row r="54" spans="1:11" x14ac:dyDescent="0.25">
      <c r="A54" s="35" t="s">
        <v>36</v>
      </c>
      <c r="B54" s="35"/>
      <c r="C54" s="35"/>
      <c r="D54" s="5">
        <v>2</v>
      </c>
      <c r="E54" s="5">
        <v>5</v>
      </c>
      <c r="F54">
        <f t="shared" si="4"/>
        <v>3.5</v>
      </c>
      <c r="G54" s="41">
        <f>F54*10</f>
        <v>35</v>
      </c>
      <c r="H54" s="41"/>
      <c r="J54" s="42" t="s">
        <v>110</v>
      </c>
      <c r="K54" s="42"/>
    </row>
    <row r="55" spans="1:11" x14ac:dyDescent="0.25">
      <c r="A55" s="35" t="s">
        <v>37</v>
      </c>
      <c r="B55" s="35"/>
      <c r="C55" s="35"/>
      <c r="D55" s="5">
        <v>8</v>
      </c>
      <c r="E55" s="5">
        <v>7</v>
      </c>
      <c r="F55">
        <f t="shared" si="4"/>
        <v>7.5</v>
      </c>
      <c r="G55" s="41">
        <f t="shared" ref="G55:G57" si="6">F55*10</f>
        <v>75</v>
      </c>
      <c r="H55" s="41"/>
      <c r="J55" s="42"/>
      <c r="K55" s="42"/>
    </row>
    <row r="56" spans="1:11" x14ac:dyDescent="0.25">
      <c r="A56" s="35" t="s">
        <v>38</v>
      </c>
      <c r="B56" s="35"/>
      <c r="C56" s="35"/>
      <c r="D56" s="5">
        <v>5</v>
      </c>
      <c r="E56" s="5">
        <v>6</v>
      </c>
      <c r="F56">
        <f t="shared" si="4"/>
        <v>5.5</v>
      </c>
      <c r="G56" s="41">
        <f t="shared" si="6"/>
        <v>55</v>
      </c>
      <c r="H56" s="41"/>
      <c r="J56" s="42"/>
      <c r="K56" s="42"/>
    </row>
    <row r="57" spans="1:11" x14ac:dyDescent="0.25">
      <c r="A57" s="35" t="s">
        <v>39</v>
      </c>
      <c r="B57" s="35"/>
      <c r="C57" s="35"/>
      <c r="D57" s="5">
        <v>9</v>
      </c>
      <c r="E57" s="5">
        <v>2</v>
      </c>
      <c r="F57">
        <f t="shared" si="4"/>
        <v>5.5</v>
      </c>
      <c r="G57" s="41">
        <f t="shared" si="6"/>
        <v>55</v>
      </c>
      <c r="H57" s="41"/>
      <c r="J57" s="42" t="s">
        <v>109</v>
      </c>
      <c r="K57" s="42"/>
    </row>
    <row r="58" spans="1:11" x14ac:dyDescent="0.25">
      <c r="A58" s="35" t="s">
        <v>40</v>
      </c>
      <c r="B58" s="35"/>
      <c r="C58" s="35"/>
      <c r="D58" s="5"/>
      <c r="E58" s="5"/>
      <c r="G58" s="41"/>
      <c r="H58" s="41"/>
      <c r="J58" s="42"/>
      <c r="K58" s="42"/>
    </row>
    <row r="59" spans="1:11" x14ac:dyDescent="0.25">
      <c r="J59" s="21"/>
      <c r="K59" s="21"/>
    </row>
    <row r="60" spans="1:11" x14ac:dyDescent="0.25">
      <c r="A60" s="11" t="s">
        <v>35</v>
      </c>
      <c r="B60" s="11"/>
      <c r="C60" s="13" t="s">
        <v>13</v>
      </c>
      <c r="J60" s="21"/>
      <c r="K60" s="21"/>
    </row>
    <row r="61" spans="1:11" x14ac:dyDescent="0.25">
      <c r="A61" s="35" t="s">
        <v>36</v>
      </c>
      <c r="B61" s="35"/>
      <c r="C61" s="35"/>
      <c r="D61" s="5">
        <v>8</v>
      </c>
      <c r="E61" s="5">
        <v>8</v>
      </c>
      <c r="F61">
        <f t="shared" si="4"/>
        <v>8</v>
      </c>
      <c r="G61" s="41">
        <f>F61*10</f>
        <v>80</v>
      </c>
      <c r="H61" s="41"/>
      <c r="J61" s="42" t="s">
        <v>110</v>
      </c>
      <c r="K61" s="42"/>
    </row>
    <row r="62" spans="1:11" x14ac:dyDescent="0.25">
      <c r="A62" s="35" t="s">
        <v>37</v>
      </c>
      <c r="B62" s="35"/>
      <c r="C62" s="35"/>
      <c r="D62" s="5">
        <v>33</v>
      </c>
      <c r="E62" s="5">
        <v>7</v>
      </c>
      <c r="F62">
        <f t="shared" si="4"/>
        <v>20</v>
      </c>
      <c r="G62" s="41">
        <f t="shared" ref="G62:G63" si="7">F62*10</f>
        <v>200</v>
      </c>
      <c r="H62" s="41"/>
      <c r="J62" s="42" t="s">
        <v>109</v>
      </c>
      <c r="K62" s="42"/>
    </row>
    <row r="63" spans="1:11" x14ac:dyDescent="0.25">
      <c r="A63" s="35" t="s">
        <v>38</v>
      </c>
      <c r="B63" s="35"/>
      <c r="C63" s="35"/>
      <c r="D63" s="5">
        <v>10</v>
      </c>
      <c r="E63" s="5">
        <v>8</v>
      </c>
      <c r="F63">
        <f t="shared" si="4"/>
        <v>9</v>
      </c>
      <c r="G63" s="41">
        <f t="shared" si="7"/>
        <v>90</v>
      </c>
      <c r="H63" s="41"/>
      <c r="J63" s="42" t="s">
        <v>112</v>
      </c>
      <c r="K63" s="42"/>
    </row>
    <row r="64" spans="1:11" x14ac:dyDescent="0.25">
      <c r="A64" s="35" t="s">
        <v>39</v>
      </c>
      <c r="B64" s="35"/>
      <c r="C64" s="35"/>
      <c r="D64" s="5"/>
      <c r="E64" s="5"/>
      <c r="G64" s="41"/>
      <c r="H64" s="41"/>
      <c r="J64" s="42"/>
      <c r="K64" s="42"/>
    </row>
    <row r="65" spans="1:11" x14ac:dyDescent="0.25">
      <c r="A65" s="35" t="s">
        <v>40</v>
      </c>
      <c r="B65" s="35"/>
      <c r="C65" s="35"/>
      <c r="D65" s="5"/>
      <c r="E65" s="5"/>
      <c r="G65" s="41"/>
      <c r="H65" s="41"/>
      <c r="J65" s="42"/>
      <c r="K65" s="42"/>
    </row>
    <row r="66" spans="1:11" x14ac:dyDescent="0.25">
      <c r="J66" s="21"/>
      <c r="K66" s="21"/>
    </row>
    <row r="67" spans="1:11" x14ac:dyDescent="0.25">
      <c r="A67" s="11" t="s">
        <v>35</v>
      </c>
      <c r="B67" s="11"/>
      <c r="C67" s="13" t="s">
        <v>14</v>
      </c>
      <c r="J67" s="21"/>
      <c r="K67" s="21"/>
    </row>
    <row r="68" spans="1:11" x14ac:dyDescent="0.25">
      <c r="A68" s="35" t="s">
        <v>36</v>
      </c>
      <c r="B68" s="35"/>
      <c r="C68" s="35"/>
      <c r="D68" s="5"/>
      <c r="E68" s="5"/>
      <c r="G68" s="41"/>
      <c r="H68" s="41"/>
      <c r="J68" s="42"/>
      <c r="K68" s="42"/>
    </row>
    <row r="69" spans="1:11" x14ac:dyDescent="0.25">
      <c r="A69" s="35" t="s">
        <v>37</v>
      </c>
      <c r="B69" s="35"/>
      <c r="C69" s="35"/>
      <c r="D69" s="5"/>
      <c r="E69" s="5"/>
      <c r="G69" s="41"/>
      <c r="H69" s="41"/>
      <c r="J69" s="42"/>
      <c r="K69" s="42"/>
    </row>
    <row r="70" spans="1:11" x14ac:dyDescent="0.25">
      <c r="A70" s="35" t="s">
        <v>38</v>
      </c>
      <c r="B70" s="35"/>
      <c r="C70" s="35"/>
      <c r="D70" s="5"/>
      <c r="E70" s="5"/>
      <c r="G70" s="41"/>
      <c r="H70" s="41"/>
      <c r="J70" s="42"/>
      <c r="K70" s="42"/>
    </row>
    <row r="71" spans="1:11" x14ac:dyDescent="0.25">
      <c r="A71" s="35" t="s">
        <v>39</v>
      </c>
      <c r="B71" s="35"/>
      <c r="C71" s="35"/>
      <c r="D71" s="5"/>
      <c r="E71" s="5"/>
      <c r="G71" s="41"/>
      <c r="H71" s="41"/>
      <c r="J71" s="42"/>
      <c r="K71" s="42"/>
    </row>
    <row r="72" spans="1:11" x14ac:dyDescent="0.25">
      <c r="A72" s="35" t="s">
        <v>40</v>
      </c>
      <c r="B72" s="35"/>
      <c r="C72" s="35"/>
      <c r="D72" s="5"/>
      <c r="E72" s="5"/>
      <c r="G72" s="41"/>
      <c r="H72" s="41"/>
      <c r="J72" s="42"/>
      <c r="K72" s="42"/>
    </row>
    <row r="73" spans="1:11" x14ac:dyDescent="0.25">
      <c r="J73" s="21"/>
      <c r="K73" s="21"/>
    </row>
    <row r="74" spans="1:11" x14ac:dyDescent="0.25">
      <c r="A74" s="11" t="s">
        <v>35</v>
      </c>
      <c r="B74" s="11"/>
      <c r="C74" s="13" t="s">
        <v>23</v>
      </c>
      <c r="J74" s="21"/>
      <c r="K74" s="21"/>
    </row>
    <row r="75" spans="1:11" x14ac:dyDescent="0.25">
      <c r="A75" s="35" t="s">
        <v>36</v>
      </c>
      <c r="B75" s="35"/>
      <c r="C75" s="35"/>
      <c r="D75" s="5">
        <v>6</v>
      </c>
      <c r="E75" s="5">
        <v>5</v>
      </c>
      <c r="F75">
        <f t="shared" si="4"/>
        <v>5.5</v>
      </c>
      <c r="G75" s="41">
        <f>F75*10</f>
        <v>55</v>
      </c>
      <c r="H75" s="41"/>
      <c r="J75" s="42" t="s">
        <v>113</v>
      </c>
      <c r="K75" s="42"/>
    </row>
    <row r="76" spans="1:11" x14ac:dyDescent="0.25">
      <c r="A76" s="35" t="s">
        <v>37</v>
      </c>
      <c r="B76" s="35"/>
      <c r="C76" s="35"/>
      <c r="D76" s="5"/>
      <c r="E76" s="5"/>
      <c r="G76" s="41"/>
      <c r="H76" s="41"/>
      <c r="J76" s="42"/>
      <c r="K76" s="42"/>
    </row>
    <row r="77" spans="1:11" x14ac:dyDescent="0.25">
      <c r="A77" s="35" t="s">
        <v>38</v>
      </c>
      <c r="B77" s="35"/>
      <c r="C77" s="35"/>
      <c r="D77" s="5"/>
      <c r="E77" s="5"/>
      <c r="G77" s="41"/>
      <c r="H77" s="41"/>
      <c r="J77" s="22"/>
      <c r="K77" s="22"/>
    </row>
    <row r="78" spans="1:11" x14ac:dyDescent="0.25">
      <c r="A78" s="35" t="s">
        <v>39</v>
      </c>
      <c r="B78" s="35"/>
      <c r="C78" s="35"/>
      <c r="D78" s="5"/>
      <c r="E78" s="5"/>
      <c r="G78" s="41"/>
      <c r="H78" s="41"/>
      <c r="J78" s="22"/>
      <c r="K78" s="22"/>
    </row>
    <row r="79" spans="1:11" x14ac:dyDescent="0.25">
      <c r="A79" s="35" t="s">
        <v>40</v>
      </c>
      <c r="B79" s="35"/>
      <c r="C79" s="35"/>
      <c r="D79" s="5"/>
      <c r="E79" s="5"/>
      <c r="G79" s="41"/>
      <c r="H79" s="41"/>
      <c r="J79" s="22"/>
      <c r="K79" s="22"/>
    </row>
  </sheetData>
  <mergeCells count="155">
    <mergeCell ref="A1:C1"/>
    <mergeCell ref="D1:K1"/>
    <mergeCell ref="L1:N1"/>
    <mergeCell ref="A11:C11"/>
    <mergeCell ref="A10:C10"/>
    <mergeCell ref="A9:C9"/>
    <mergeCell ref="A8:C8"/>
    <mergeCell ref="A7:C7"/>
    <mergeCell ref="J11:K11"/>
    <mergeCell ref="J10:K10"/>
    <mergeCell ref="J9:K9"/>
    <mergeCell ref="J8:K8"/>
    <mergeCell ref="J7:K7"/>
    <mergeCell ref="G11:H11"/>
    <mergeCell ref="G10:H10"/>
    <mergeCell ref="G9:H9"/>
    <mergeCell ref="G8:H8"/>
    <mergeCell ref="G7:H7"/>
    <mergeCell ref="A16:C16"/>
    <mergeCell ref="G16:H16"/>
    <mergeCell ref="J16:K16"/>
    <mergeCell ref="A17:C17"/>
    <mergeCell ref="G17:H17"/>
    <mergeCell ref="J17:K17"/>
    <mergeCell ref="A14:C14"/>
    <mergeCell ref="G14:H14"/>
    <mergeCell ref="J14:K14"/>
    <mergeCell ref="A15:C15"/>
    <mergeCell ref="G15:H15"/>
    <mergeCell ref="J15:K15"/>
    <mergeCell ref="A22:C22"/>
    <mergeCell ref="G22:H22"/>
    <mergeCell ref="J22:K22"/>
    <mergeCell ref="A23:C23"/>
    <mergeCell ref="G23:H23"/>
    <mergeCell ref="J23:K23"/>
    <mergeCell ref="A18:C18"/>
    <mergeCell ref="G18:H18"/>
    <mergeCell ref="J18:K18"/>
    <mergeCell ref="A21:C21"/>
    <mergeCell ref="G21:H21"/>
    <mergeCell ref="J21:K21"/>
    <mergeCell ref="A28:C28"/>
    <mergeCell ref="G28:H28"/>
    <mergeCell ref="J28:K28"/>
    <mergeCell ref="A29:C29"/>
    <mergeCell ref="G29:H29"/>
    <mergeCell ref="J29:K29"/>
    <mergeCell ref="A24:C24"/>
    <mergeCell ref="G24:H24"/>
    <mergeCell ref="J24:K24"/>
    <mergeCell ref="A25:C25"/>
    <mergeCell ref="G25:H25"/>
    <mergeCell ref="J25:K25"/>
    <mergeCell ref="A32:C32"/>
    <mergeCell ref="G32:H32"/>
    <mergeCell ref="J32:K32"/>
    <mergeCell ref="A35:C35"/>
    <mergeCell ref="G35:H35"/>
    <mergeCell ref="J35:K35"/>
    <mergeCell ref="A30:C30"/>
    <mergeCell ref="G30:H30"/>
    <mergeCell ref="J30:K30"/>
    <mergeCell ref="A31:C31"/>
    <mergeCell ref="G31:H31"/>
    <mergeCell ref="J31:K31"/>
    <mergeCell ref="A38:C38"/>
    <mergeCell ref="G38:H38"/>
    <mergeCell ref="J38:K38"/>
    <mergeCell ref="A39:C39"/>
    <mergeCell ref="G39:H39"/>
    <mergeCell ref="J39:K39"/>
    <mergeCell ref="A36:C36"/>
    <mergeCell ref="G36:H36"/>
    <mergeCell ref="J36:K36"/>
    <mergeCell ref="A37:C37"/>
    <mergeCell ref="G37:H37"/>
    <mergeCell ref="J37:K37"/>
    <mergeCell ref="A49:C49"/>
    <mergeCell ref="G49:H49"/>
    <mergeCell ref="J49:K49"/>
    <mergeCell ref="A47:C47"/>
    <mergeCell ref="G47:H47"/>
    <mergeCell ref="J47:K47"/>
    <mergeCell ref="A48:C48"/>
    <mergeCell ref="G48:H48"/>
    <mergeCell ref="J48:K48"/>
    <mergeCell ref="A65:C65"/>
    <mergeCell ref="G65:H65"/>
    <mergeCell ref="J65:K65"/>
    <mergeCell ref="A61:C61"/>
    <mergeCell ref="G61:H61"/>
    <mergeCell ref="J61:K61"/>
    <mergeCell ref="A62:C62"/>
    <mergeCell ref="G62:H62"/>
    <mergeCell ref="J62:K62"/>
    <mergeCell ref="A58:C58"/>
    <mergeCell ref="G58:H58"/>
    <mergeCell ref="J58:K58"/>
    <mergeCell ref="A64:C64"/>
    <mergeCell ref="A75:C75"/>
    <mergeCell ref="G75:H75"/>
    <mergeCell ref="J75:K75"/>
    <mergeCell ref="A76:C76"/>
    <mergeCell ref="G76:H76"/>
    <mergeCell ref="J76:K76"/>
    <mergeCell ref="A69:C69"/>
    <mergeCell ref="G69:H69"/>
    <mergeCell ref="J69:K69"/>
    <mergeCell ref="A70:C70"/>
    <mergeCell ref="G70:H70"/>
    <mergeCell ref="J70:K70"/>
    <mergeCell ref="A68:C68"/>
    <mergeCell ref="G68:H68"/>
    <mergeCell ref="J68:K68"/>
    <mergeCell ref="A63:C63"/>
    <mergeCell ref="G63:H63"/>
    <mergeCell ref="J63:K63"/>
    <mergeCell ref="G64:H64"/>
    <mergeCell ref="J64:K64"/>
    <mergeCell ref="G57:H57"/>
    <mergeCell ref="J57:K57"/>
    <mergeCell ref="A55:C55"/>
    <mergeCell ref="G55:H55"/>
    <mergeCell ref="J55:K55"/>
    <mergeCell ref="A56:C56"/>
    <mergeCell ref="G56:H56"/>
    <mergeCell ref="J56:K56"/>
    <mergeCell ref="A54:C54"/>
    <mergeCell ref="G54:H54"/>
    <mergeCell ref="J54:K54"/>
    <mergeCell ref="R1:S1"/>
    <mergeCell ref="Q5:V6"/>
    <mergeCell ref="A78:C78"/>
    <mergeCell ref="G78:H78"/>
    <mergeCell ref="J78:K78"/>
    <mergeCell ref="A79:C79"/>
    <mergeCell ref="G79:H79"/>
    <mergeCell ref="J79:K79"/>
    <mergeCell ref="A71:C71"/>
    <mergeCell ref="G71:H71"/>
    <mergeCell ref="J71:K71"/>
    <mergeCell ref="A72:C72"/>
    <mergeCell ref="G72:H72"/>
    <mergeCell ref="J72:K72"/>
    <mergeCell ref="A77:C77"/>
    <mergeCell ref="G77:H77"/>
    <mergeCell ref="J77:K77"/>
    <mergeCell ref="A50:C50"/>
    <mergeCell ref="G50:H50"/>
    <mergeCell ref="J50:K50"/>
    <mergeCell ref="A51:C51"/>
    <mergeCell ref="G51:H51"/>
    <mergeCell ref="J51:K51"/>
    <mergeCell ref="A57:C57"/>
  </mergeCells>
  <phoneticPr fontId="3" type="noConversion"/>
  <pageMargins left="0.7" right="0.7" top="0.75" bottom="0.75" header="0.3" footer="0.3"/>
  <pageSetup paperSize="9" scale="4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Tabelle1</vt:lpstr>
      <vt:lpstr>Letture operatore 1</vt:lpstr>
      <vt:lpstr>Letture operatore 2</vt:lpstr>
      <vt:lpstr>Risultati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Microbiologia2</dc:creator>
  <cp:lastModifiedBy>11770</cp:lastModifiedBy>
  <cp:lastPrinted>2024-10-09T14:21:12Z</cp:lastPrinted>
  <dcterms:created xsi:type="dcterms:W3CDTF">2015-06-05T18:19:34Z</dcterms:created>
  <dcterms:modified xsi:type="dcterms:W3CDTF">2024-10-09T14:21:16Z</dcterms:modified>
</cp:coreProperties>
</file>