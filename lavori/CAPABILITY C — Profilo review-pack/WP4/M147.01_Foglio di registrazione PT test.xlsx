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LTASERVER\Condivisa\MICROBIOLOGIA\Accreditamento\EDITABILI\PT\2025\"/>
    </mc:Choice>
  </mc:AlternateContent>
  <xr:revisionPtr revIDLastSave="0" documentId="13_ncr:1_{401AEF76-4452-4204-8CF4-7AB962C368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gistrazione" sheetId="1" r:id="rId1"/>
    <sheet name="Annotazioni operatore 1" sheetId="2" r:id="rId2"/>
    <sheet name="Annotazioni operatore 2" sheetId="3" r:id="rId3"/>
    <sheet name="Risultat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2" i="4" l="1"/>
  <c r="V36" i="4"/>
  <c r="T62" i="4"/>
  <c r="T54" i="4"/>
  <c r="T48" i="4"/>
  <c r="T36" i="4"/>
  <c r="T22" i="4"/>
  <c r="T9" i="4"/>
  <c r="R9" i="4"/>
  <c r="J76" i="4"/>
  <c r="J77" i="4"/>
  <c r="J78" i="4"/>
  <c r="J79" i="4"/>
  <c r="J69" i="4"/>
  <c r="J71" i="4"/>
  <c r="J72" i="4"/>
  <c r="J63" i="4"/>
  <c r="J64" i="4"/>
  <c r="J65" i="4"/>
  <c r="J55" i="4"/>
  <c r="J56" i="4"/>
  <c r="J57" i="4"/>
  <c r="J58" i="4"/>
  <c r="J48" i="4"/>
  <c r="J49" i="4"/>
  <c r="J50" i="4"/>
  <c r="J51" i="4"/>
  <c r="J37" i="4"/>
  <c r="J38" i="4"/>
  <c r="J39" i="4"/>
  <c r="J30" i="4"/>
  <c r="J31" i="4"/>
  <c r="J32" i="4"/>
  <c r="J23" i="4"/>
  <c r="J24" i="4"/>
  <c r="J25" i="4"/>
  <c r="J21" i="4"/>
  <c r="J16" i="4"/>
  <c r="J17" i="4"/>
  <c r="J14" i="4"/>
  <c r="J8" i="4"/>
  <c r="J9" i="4"/>
  <c r="J10" i="4"/>
  <c r="J11" i="4"/>
  <c r="F48" i="4"/>
  <c r="F49" i="4"/>
  <c r="F50" i="4"/>
  <c r="F51" i="4"/>
  <c r="F54" i="4"/>
  <c r="J54" i="4" s="1"/>
  <c r="F55" i="4"/>
  <c r="F56" i="4"/>
  <c r="F57" i="4"/>
  <c r="F58" i="4"/>
  <c r="F61" i="4"/>
  <c r="J61" i="4" s="1"/>
  <c r="F62" i="4"/>
  <c r="J62" i="4" s="1"/>
  <c r="F63" i="4"/>
  <c r="F64" i="4"/>
  <c r="F65" i="4"/>
  <c r="F68" i="4"/>
  <c r="J68" i="4" s="1"/>
  <c r="F69" i="4"/>
  <c r="F70" i="4"/>
  <c r="J70" i="4" s="1"/>
  <c r="F71" i="4"/>
  <c r="F72" i="4"/>
  <c r="F75" i="4"/>
  <c r="J75" i="4" s="1"/>
  <c r="F76" i="4"/>
  <c r="F77" i="4"/>
  <c r="F78" i="4"/>
  <c r="F79" i="4"/>
  <c r="F47" i="4"/>
  <c r="J47" i="4" s="1"/>
  <c r="F8" i="4"/>
  <c r="F9" i="4"/>
  <c r="F10" i="4"/>
  <c r="F11" i="4"/>
  <c r="F14" i="4"/>
  <c r="F15" i="4"/>
  <c r="J15" i="4" s="1"/>
  <c r="F16" i="4"/>
  <c r="F17" i="4"/>
  <c r="F18" i="4"/>
  <c r="J18" i="4" s="1"/>
  <c r="F21" i="4"/>
  <c r="F22" i="4"/>
  <c r="J22" i="4" s="1"/>
  <c r="F23" i="4"/>
  <c r="F24" i="4"/>
  <c r="F25" i="4"/>
  <c r="F28" i="4"/>
  <c r="J28" i="4" s="1"/>
  <c r="F29" i="4"/>
  <c r="J29" i="4" s="1"/>
  <c r="F30" i="4"/>
  <c r="F31" i="4"/>
  <c r="F32" i="4"/>
  <c r="F35" i="4"/>
  <c r="J35" i="4" s="1"/>
  <c r="F36" i="4"/>
  <c r="J36" i="4" s="1"/>
  <c r="F37" i="4"/>
  <c r="F38" i="4"/>
  <c r="F39" i="4"/>
  <c r="F7" i="4"/>
  <c r="J7" i="4" s="1"/>
</calcChain>
</file>

<file path=xl/sharedStrings.xml><?xml version="1.0" encoding="utf-8"?>
<sst xmlns="http://schemas.openxmlformats.org/spreadsheetml/2006/main" count="615" uniqueCount="144">
  <si>
    <t>Campioni:</t>
  </si>
  <si>
    <t>PT provider:</t>
  </si>
  <si>
    <t>Data di arrivo:</t>
  </si>
  <si>
    <t>Termine consegna risultati:</t>
  </si>
  <si>
    <t>RISOSPENSIONE</t>
  </si>
  <si>
    <t>Data:</t>
  </si>
  <si>
    <t>Fisiologica sterile:</t>
  </si>
  <si>
    <t>Volume di risospensione:</t>
  </si>
  <si>
    <t>Terreni agarizzati</t>
  </si>
  <si>
    <t>Nome</t>
  </si>
  <si>
    <t>Lotto</t>
  </si>
  <si>
    <t>Scadenza</t>
  </si>
  <si>
    <t>Volume piastrato:</t>
  </si>
  <si>
    <t>MCK</t>
  </si>
  <si>
    <t>BAA</t>
  </si>
  <si>
    <t>TSCS</t>
  </si>
  <si>
    <t>CLED</t>
  </si>
  <si>
    <t>Bianchi di processo</t>
  </si>
  <si>
    <t>Operazioni effettuate:</t>
  </si>
  <si>
    <t>Catalase</t>
  </si>
  <si>
    <t>Oxidase</t>
  </si>
  <si>
    <t>indolo</t>
  </si>
  <si>
    <t>Operatore 1:</t>
  </si>
  <si>
    <t>Operatore 2:</t>
  </si>
  <si>
    <t>Campione:</t>
  </si>
  <si>
    <t>Aspetto su piastra</t>
  </si>
  <si>
    <t xml:space="preserve">Terreno agarizzato: </t>
  </si>
  <si>
    <t>colonia 1</t>
  </si>
  <si>
    <t>colonia 2</t>
  </si>
  <si>
    <t>colonia 3</t>
  </si>
  <si>
    <t>colonia 4</t>
  </si>
  <si>
    <t>colonia 5</t>
  </si>
  <si>
    <t>Terreno agarizzato:</t>
  </si>
  <si>
    <t>N° colonia 1</t>
  </si>
  <si>
    <t>N° colonia 2</t>
  </si>
  <si>
    <t>N° colonia 3</t>
  </si>
  <si>
    <t>N° colonia 4</t>
  </si>
  <si>
    <t>N° colonia 5</t>
  </si>
  <si>
    <t>media</t>
  </si>
  <si>
    <t>Op. 1</t>
  </si>
  <si>
    <t>Op. 2</t>
  </si>
  <si>
    <t>Identificazione</t>
  </si>
  <si>
    <t>Foglio di registrazione PT test</t>
  </si>
  <si>
    <t>Firma</t>
  </si>
  <si>
    <t>TSA</t>
  </si>
  <si>
    <t>SAB</t>
  </si>
  <si>
    <t>ALOA</t>
  </si>
  <si>
    <t>MSA</t>
  </si>
  <si>
    <t>MYP</t>
  </si>
  <si>
    <t>PEMBA</t>
  </si>
  <si>
    <t>PT distribution number:</t>
  </si>
  <si>
    <t>Valore normalizzato</t>
  </si>
  <si>
    <t>Blood agar</t>
  </si>
  <si>
    <t>Conta Op. 1</t>
  </si>
  <si>
    <t>Conta Op. 2</t>
  </si>
  <si>
    <t>OPERAZIONI</t>
  </si>
  <si>
    <t>M147.01
del 31/01/2025</t>
  </si>
  <si>
    <t>Titolo schema PT:</t>
  </si>
  <si>
    <t>Standard scheme</t>
  </si>
  <si>
    <t>S0809 / S0810</t>
  </si>
  <si>
    <t>UKHSA</t>
  </si>
  <si>
    <t>Alessandro Bidossi</t>
  </si>
  <si>
    <t>Marianna Mauri</t>
  </si>
  <si>
    <t>CLED027.25</t>
  </si>
  <si>
    <t>2025/07</t>
  </si>
  <si>
    <t>2TC132</t>
  </si>
  <si>
    <t>MSA206/25</t>
  </si>
  <si>
    <t>2026/01</t>
  </si>
  <si>
    <t>PEMBA206.25</t>
  </si>
  <si>
    <t xml:space="preserve">20ml </t>
  </si>
  <si>
    <t>TSA192.25</t>
  </si>
  <si>
    <t>2025/11</t>
  </si>
  <si>
    <t>SAB134.25</t>
  </si>
  <si>
    <t>100ul</t>
  </si>
  <si>
    <t>Fattore di diluizione</t>
  </si>
  <si>
    <t>Gram</t>
  </si>
  <si>
    <t>campioni risospesi in 20ml di fisiologica sterile, piastrati 100ul dal tq e 100ul da diluizione 1:10, incubati a 37°C (incubatore LTA004)</t>
  </si>
  <si>
    <t>effettuata ulteriore diluizione di entrambi i campioni per piastrazione PEMBA, CLED e XLD (solo S0810)</t>
  </si>
  <si>
    <t>messe ad incubare anche piastre ALOA per ulteriori 24h</t>
  </si>
  <si>
    <t xml:space="preserve">effettuata conta dell'unico tipo di colonia su MSA di S0809, mentre MSA di S0810 messa ad incubare di nuovo. </t>
  </si>
  <si>
    <t>effettuati i vetrini di tutte le colonie annotate.</t>
  </si>
  <si>
    <t>Ripassate le seguenti colonie:</t>
  </si>
  <si>
    <t xml:space="preserve"> S0809: Col.1-2 da PEMBA, ,SA, CLED -&gt;  PEMBA; Col. 1-2 da ALOA -&gt; ALOA; col. 1-2 da XLD -&gt; XLD.</t>
  </si>
  <si>
    <t>S0810: col. 1-2-3 da CLED -&gt; TSA; col. 1-2-3 da CLED -&gt;  PEMBA</t>
  </si>
  <si>
    <t>S0809 MSA -&gt; test API kit ID 32 Staph</t>
  </si>
  <si>
    <t>S0809: Ripassate le colonie da XLD; ALOA col 1-2 CAMP test; vetrini ripassi su PEMBA; PEMBA col 1 -&gt; test API 50 CHB; CLED col 2 -&gt; test API ID 32 E.</t>
  </si>
  <si>
    <t>S0810: XLD col 1 -&gt; test API ID 32 E; CLED col 1 -&gt; test API 50 CHB; CLED col 2 vetrini da ripassi; CLED col. 3 -&gt; test API ID 32 E.</t>
  </si>
  <si>
    <t>S0809: vetrini da colonie XLD</t>
  </si>
  <si>
    <t>XLD</t>
  </si>
  <si>
    <t>S0809</t>
  </si>
  <si>
    <t>S0810</t>
  </si>
  <si>
    <t>B. cereus</t>
  </si>
  <si>
    <t>E. coli</t>
  </si>
  <si>
    <t>E. cloacae</t>
  </si>
  <si>
    <t>S. aureus</t>
  </si>
  <si>
    <t>L. monocytogenes</t>
  </si>
  <si>
    <t>Listeria spp.</t>
  </si>
  <si>
    <t>B. mycoides</t>
  </si>
  <si>
    <t>Colonia grande, superficie opaca, irregolare</t>
  </si>
  <si>
    <t>Colonia piccola, superficie liscia, trasparente</t>
  </si>
  <si>
    <t>bacilli +</t>
  </si>
  <si>
    <t>cocchi +</t>
  </si>
  <si>
    <t>Colonia grande verde/azzurra, bordo irregolare, viraggio terreno</t>
  </si>
  <si>
    <t>Piccola giallo/grigio</t>
  </si>
  <si>
    <t>+</t>
  </si>
  <si>
    <t>API</t>
  </si>
  <si>
    <t>-</t>
  </si>
  <si>
    <t>colonia grande, opaca</t>
  </si>
  <si>
    <t>bacilli -</t>
  </si>
  <si>
    <t>piccola, gialla, liscia</t>
  </si>
  <si>
    <t>verde/azzurra con alone</t>
  </si>
  <si>
    <t>verde/azzurra senza alone</t>
  </si>
  <si>
    <t>B. cereus 75,8 %</t>
  </si>
  <si>
    <t>E. coli 99,9 %</t>
  </si>
  <si>
    <t>gialla con alone giallo</t>
  </si>
  <si>
    <t>gialla con fermentazione mannitolo</t>
  </si>
  <si>
    <t>E. cloacae 99,2%</t>
  </si>
  <si>
    <t>S. aureus 99,9%</t>
  </si>
  <si>
    <t xml:space="preserve">Bacilli - </t>
  </si>
  <si>
    <t>Grande, piatta, superficie opaca, azzurra</t>
  </si>
  <si>
    <t>piccole giallo/bianche</t>
  </si>
  <si>
    <t>grandi mucose</t>
  </si>
  <si>
    <t>Bacilli +</t>
  </si>
  <si>
    <t>+/-</t>
  </si>
  <si>
    <t>B. mycoides 99,5%</t>
  </si>
  <si>
    <t>colonie grandi, superficie opaca, azzurre, viraggio del terreno</t>
  </si>
  <si>
    <t>grandi irregolari, colore grigio/giallo</t>
  </si>
  <si>
    <t>gialle con formazione di alone</t>
  </si>
  <si>
    <t>E. coli 99,9%</t>
  </si>
  <si>
    <t>E.coli</t>
  </si>
  <si>
    <t>coliformi totali</t>
  </si>
  <si>
    <t>coagulase positive</t>
  </si>
  <si>
    <t>lotto: FISIO093.25    scad.: 12/2025</t>
  </si>
  <si>
    <t>PRESENTE</t>
  </si>
  <si>
    <t>ASSENTE</t>
  </si>
  <si>
    <t>BIANCHI DI PROCESSO OK</t>
  </si>
  <si>
    <t>S0809: XLD col 1 e 2 -&gt; ID 32 E</t>
  </si>
  <si>
    <t>Streptococcus spp.</t>
  </si>
  <si>
    <t>Listeria spp. 99,9%</t>
  </si>
  <si>
    <t>CAMP</t>
  </si>
  <si>
    <t>+ (S.aureus)</t>
  </si>
  <si>
    <t>- (S.aureus</t>
  </si>
  <si>
    <t>Listeria spp. (including L. monocytogenes)</t>
  </si>
  <si>
    <t>S0810: ALOA -&gt;  CAMP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</si>
</sst>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4" xfId="0" applyBorder="1" applyProtection="1">
      <protection locked="0"/>
    </xf>
    <xf numFmtId="14" fontId="0" fillId="0" borderId="4" xfId="0" applyNumberFormat="1" applyBorder="1" applyProtection="1">
      <protection locked="0"/>
    </xf>
    <xf numFmtId="0" fontId="0" fillId="0" borderId="6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0" xfId="0" applyProtection="1"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left"/>
      <protection locked="0"/>
    </xf>
    <xf numFmtId="14" fontId="0" fillId="0" borderId="4" xfId="0" applyNumberFormat="1" applyBorder="1" applyAlignment="1" applyProtection="1">
      <alignment horizontal="left"/>
      <protection locked="0"/>
    </xf>
    <xf numFmtId="14" fontId="0" fillId="0" borderId="9" xfId="0" applyNumberFormat="1" applyBorder="1" applyProtection="1">
      <protection locked="0"/>
    </xf>
    <xf numFmtId="0" fontId="6" fillId="0" borderId="4" xfId="0" applyFont="1" applyBorder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0" fillId="0" borderId="7" xfId="0" quotePrefix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0" fontId="0" fillId="0" borderId="0" xfId="0" applyProtection="1"/>
    <xf numFmtId="0" fontId="1" fillId="0" borderId="0" xfId="0" applyFont="1" applyProtection="1"/>
    <xf numFmtId="0" fontId="0" fillId="0" borderId="5" xfId="0" applyBorder="1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left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  <xf numFmtId="0" fontId="0" fillId="0" borderId="3" xfId="0" applyBorder="1" applyAlignment="1" applyProtection="1">
      <alignment horizontal="center"/>
    </xf>
    <xf numFmtId="0" fontId="4" fillId="0" borderId="1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0" fillId="0" borderId="4" xfId="0" applyBorder="1" applyAlignment="1" applyProtection="1">
      <alignment horizontal="center"/>
    </xf>
    <xf numFmtId="0" fontId="0" fillId="0" borderId="7" xfId="0" applyBorder="1" applyProtection="1"/>
    <xf numFmtId="0" fontId="2" fillId="0" borderId="4" xfId="0" applyFont="1" applyBorder="1" applyProtection="1"/>
    <xf numFmtId="0" fontId="0" fillId="0" borderId="4" xfId="0" applyBorder="1" applyProtection="1"/>
    <xf numFmtId="0" fontId="1" fillId="0" borderId="5" xfId="0" applyFont="1" applyBorder="1" applyAlignment="1" applyProtection="1">
      <alignment horizontal="center"/>
    </xf>
    <xf numFmtId="0" fontId="1" fillId="0" borderId="5" xfId="0" applyFont="1" applyBorder="1" applyAlignment="1" applyProtection="1">
      <alignment horizontal="center"/>
    </xf>
    <xf numFmtId="0" fontId="1" fillId="0" borderId="4" xfId="0" applyFont="1" applyBorder="1" applyProtection="1"/>
    <xf numFmtId="0" fontId="0" fillId="0" borderId="0" xfId="0" applyAlignment="1" applyProtection="1">
      <alignment horizontal="center"/>
    </xf>
    <xf numFmtId="0" fontId="4" fillId="0" borderId="2" xfId="0" applyFont="1" applyBorder="1" applyAlignment="1" applyProtection="1">
      <alignment horizontal="center" vertical="center"/>
    </xf>
    <xf numFmtId="0" fontId="6" fillId="0" borderId="0" xfId="0" applyFont="1" applyAlignment="1" applyProtection="1">
      <alignment horizontal="left"/>
      <protection locked="0"/>
    </xf>
    <xf numFmtId="164" fontId="2" fillId="0" borderId="7" xfId="0" applyNumberFormat="1" applyFont="1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6" fillId="0" borderId="0" xfId="0" applyFont="1" applyAlignment="1" applyProtection="1">
      <alignment horizontal="left"/>
    </xf>
    <xf numFmtId="0" fontId="2" fillId="0" borderId="0" xfId="0" applyFont="1" applyProtection="1"/>
    <xf numFmtId="0" fontId="2" fillId="0" borderId="0" xfId="0" applyFont="1" applyAlignment="1" applyProtection="1">
      <alignment horizontal="center"/>
    </xf>
    <xf numFmtId="164" fontId="0" fillId="0" borderId="0" xfId="0" applyNumberFormat="1" applyProtection="1"/>
    <xf numFmtId="1" fontId="0" fillId="0" borderId="0" xfId="0" applyNumberFormat="1" applyProtection="1"/>
    <xf numFmtId="0" fontId="0" fillId="0" borderId="5" xfId="0" applyBorder="1" applyAlignment="1" applyProtection="1">
      <alignment horizontal="center"/>
    </xf>
    <xf numFmtId="0" fontId="6" fillId="0" borderId="6" xfId="0" applyFont="1" applyBorder="1" applyAlignment="1" applyProtection="1">
      <alignment horizontal="left"/>
    </xf>
    <xf numFmtId="0" fontId="5" fillId="0" borderId="0" xfId="0" applyFo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219075</xdr:rowOff>
    </xdr:from>
    <xdr:to>
      <xdr:col>1</xdr:col>
      <xdr:colOff>552450</xdr:colOff>
      <xdr:row>0</xdr:row>
      <xdr:rowOff>647700</xdr:rowOff>
    </xdr:to>
    <xdr:pic>
      <xdr:nvPicPr>
        <xdr:cNvPr id="2" name="Immagine 1" descr="Immagine che contiene Carattere, simbolo, linea, design&#10;&#10;Descrizione generata automaticamente">
          <a:extLst>
            <a:ext uri="{FF2B5EF4-FFF2-40B4-BE49-F238E27FC236}">
              <a16:creationId xmlns:a16="http://schemas.microsoft.com/office/drawing/2014/main" id="{FE045EBC-2991-409E-A4A6-2F581FDD6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219075"/>
          <a:ext cx="7048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116417</xdr:colOff>
      <xdr:row>0</xdr:row>
      <xdr:rowOff>560916</xdr:rowOff>
    </xdr:from>
    <xdr:to>
      <xdr:col>18</xdr:col>
      <xdr:colOff>516467</xdr:colOff>
      <xdr:row>0</xdr:row>
      <xdr:rowOff>922866</xdr:rowOff>
    </xdr:to>
    <xdr:pic>
      <xdr:nvPicPr>
        <xdr:cNvPr id="3" name="Immagine 2" descr="Immagine che contiene calligrafia&#10;&#10;Descrizione generata automaticamente">
          <a:extLst>
            <a:ext uri="{FF2B5EF4-FFF2-40B4-BE49-F238E27FC236}">
              <a16:creationId xmlns:a16="http://schemas.microsoft.com/office/drawing/2014/main" id="{449798EB-EDE3-A055-7272-A821536AD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0" y="560916"/>
          <a:ext cx="1013884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219075</xdr:rowOff>
    </xdr:from>
    <xdr:to>
      <xdr:col>2</xdr:col>
      <xdr:colOff>47625</xdr:colOff>
      <xdr:row>0</xdr:row>
      <xdr:rowOff>647700</xdr:rowOff>
    </xdr:to>
    <xdr:pic>
      <xdr:nvPicPr>
        <xdr:cNvPr id="2" name="Immagine 1" descr="Immagine che contiene Carattere, simbolo, linea, design&#10;&#10;Descrizione generata automaticamente">
          <a:extLst>
            <a:ext uri="{FF2B5EF4-FFF2-40B4-BE49-F238E27FC236}">
              <a16:creationId xmlns:a16="http://schemas.microsoft.com/office/drawing/2014/main" id="{6C5904E3-E7AE-4185-A9BD-EB259F4F6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219075"/>
          <a:ext cx="7048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19050</xdr:colOff>
      <xdr:row>0</xdr:row>
      <xdr:rowOff>590550</xdr:rowOff>
    </xdr:from>
    <xdr:to>
      <xdr:col>19</xdr:col>
      <xdr:colOff>419100</xdr:colOff>
      <xdr:row>0</xdr:row>
      <xdr:rowOff>952500</xdr:rowOff>
    </xdr:to>
    <xdr:pic>
      <xdr:nvPicPr>
        <xdr:cNvPr id="3" name="Immagine 2" descr="Immagine che contiene calligrafia&#10;&#10;Descrizione generata automaticamente">
          <a:extLst>
            <a:ext uri="{FF2B5EF4-FFF2-40B4-BE49-F238E27FC236}">
              <a16:creationId xmlns:a16="http://schemas.microsoft.com/office/drawing/2014/main" id="{DF678A2C-40CD-306C-FB27-6D3D6B592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6600" y="590550"/>
          <a:ext cx="10096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219075</xdr:rowOff>
    </xdr:from>
    <xdr:to>
      <xdr:col>2</xdr:col>
      <xdr:colOff>47625</xdr:colOff>
      <xdr:row>0</xdr:row>
      <xdr:rowOff>647700</xdr:rowOff>
    </xdr:to>
    <xdr:pic>
      <xdr:nvPicPr>
        <xdr:cNvPr id="2" name="Immagine 1" descr="Immagine che contiene Carattere, simbolo, linea, design&#10;&#10;Descrizione generata automaticamente">
          <a:extLst>
            <a:ext uri="{FF2B5EF4-FFF2-40B4-BE49-F238E27FC236}">
              <a16:creationId xmlns:a16="http://schemas.microsoft.com/office/drawing/2014/main" id="{78837FD1-D245-4AF4-980F-691E23FA6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219075"/>
          <a:ext cx="7048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561975</xdr:colOff>
      <xdr:row>0</xdr:row>
      <xdr:rowOff>219075</xdr:rowOff>
    </xdr:from>
    <xdr:to>
      <xdr:col>2</xdr:col>
      <xdr:colOff>47625</xdr:colOff>
      <xdr:row>0</xdr:row>
      <xdr:rowOff>647700</xdr:rowOff>
    </xdr:to>
    <xdr:pic>
      <xdr:nvPicPr>
        <xdr:cNvPr id="3" name="Immagine 2" descr="Immagine che contiene Carattere, simbolo, linea, design&#10;&#10;Descrizione generata automaticamente">
          <a:extLst>
            <a:ext uri="{FF2B5EF4-FFF2-40B4-BE49-F238E27FC236}">
              <a16:creationId xmlns:a16="http://schemas.microsoft.com/office/drawing/2014/main" id="{8556E53B-ACAC-410E-BAA7-6184FDA70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219075"/>
          <a:ext cx="7048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581025</xdr:colOff>
      <xdr:row>0</xdr:row>
      <xdr:rowOff>533400</xdr:rowOff>
    </xdr:from>
    <xdr:to>
      <xdr:col>18</xdr:col>
      <xdr:colOff>371475</xdr:colOff>
      <xdr:row>0</xdr:row>
      <xdr:rowOff>895350</xdr:rowOff>
    </xdr:to>
    <xdr:pic>
      <xdr:nvPicPr>
        <xdr:cNvPr id="4" name="Immagine 3" descr="Immagine che contiene calligrafia&#10;&#10;Descrizione generata automaticamente">
          <a:extLst>
            <a:ext uri="{FF2B5EF4-FFF2-40B4-BE49-F238E27FC236}">
              <a16:creationId xmlns:a16="http://schemas.microsoft.com/office/drawing/2014/main" id="{9977BD13-BBD9-A7EC-E919-200BEA400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533400"/>
          <a:ext cx="10096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561975</xdr:colOff>
      <xdr:row>0</xdr:row>
      <xdr:rowOff>219075</xdr:rowOff>
    </xdr:from>
    <xdr:to>
      <xdr:col>2</xdr:col>
      <xdr:colOff>47625</xdr:colOff>
      <xdr:row>0</xdr:row>
      <xdr:rowOff>647700</xdr:rowOff>
    </xdr:to>
    <xdr:pic>
      <xdr:nvPicPr>
        <xdr:cNvPr id="5" name="Immagine 4" descr="Immagine che contiene Carattere, simbolo, linea, design&#10;&#10;Descrizione generata automaticamente">
          <a:extLst>
            <a:ext uri="{FF2B5EF4-FFF2-40B4-BE49-F238E27FC236}">
              <a16:creationId xmlns:a16="http://schemas.microsoft.com/office/drawing/2014/main" id="{0A31B344-04C6-4F21-89EE-83E415951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219075"/>
          <a:ext cx="7048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219075</xdr:rowOff>
    </xdr:from>
    <xdr:to>
      <xdr:col>2</xdr:col>
      <xdr:colOff>38100</xdr:colOff>
      <xdr:row>0</xdr:row>
      <xdr:rowOff>647700</xdr:rowOff>
    </xdr:to>
    <xdr:pic>
      <xdr:nvPicPr>
        <xdr:cNvPr id="2" name="Immagine 1" descr="Immagine che contiene Carattere, simbolo, linea, design&#10;&#10;Descrizione generata automaticamente">
          <a:extLst>
            <a:ext uri="{FF2B5EF4-FFF2-40B4-BE49-F238E27FC236}">
              <a16:creationId xmlns:a16="http://schemas.microsoft.com/office/drawing/2014/main" id="{44422E95-33FD-4AAD-929B-BA03C4A7E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219075"/>
          <a:ext cx="7048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114300</xdr:colOff>
      <xdr:row>0</xdr:row>
      <xdr:rowOff>638175</xdr:rowOff>
    </xdr:from>
    <xdr:to>
      <xdr:col>19</xdr:col>
      <xdr:colOff>514350</xdr:colOff>
      <xdr:row>1</xdr:row>
      <xdr:rowOff>28575</xdr:rowOff>
    </xdr:to>
    <xdr:pic>
      <xdr:nvPicPr>
        <xdr:cNvPr id="3" name="Immagine 2" descr="Immagine che contiene calligrafia&#10;&#10;Descrizione generata automaticamente">
          <a:extLst>
            <a:ext uri="{FF2B5EF4-FFF2-40B4-BE49-F238E27FC236}">
              <a16:creationId xmlns:a16="http://schemas.microsoft.com/office/drawing/2014/main" id="{AF1C101B-41BA-6A41-B01A-FAEDB451E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638175"/>
          <a:ext cx="10096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94"/>
  <sheetViews>
    <sheetView tabSelected="1" zoomScale="90" zoomScaleNormal="90" workbookViewId="0">
      <selection activeCell="V7" sqref="V7"/>
    </sheetView>
  </sheetViews>
  <sheetFormatPr defaultRowHeight="15" x14ac:dyDescent="0.25"/>
  <cols>
    <col min="1" max="1" width="10.7109375" style="21" customWidth="1"/>
    <col min="2" max="3" width="9.140625" style="21"/>
    <col min="4" max="4" width="18.140625" style="21" bestFit="1" customWidth="1"/>
    <col min="5" max="16384" width="9.140625" style="21"/>
  </cols>
  <sheetData>
    <row r="1" spans="1:19" ht="76.5" customHeight="1" thickBot="1" x14ac:dyDescent="0.3">
      <c r="A1" s="26"/>
      <c r="B1" s="27"/>
      <c r="C1" s="28"/>
      <c r="D1" s="29" t="s">
        <v>42</v>
      </c>
      <c r="E1" s="30"/>
      <c r="F1" s="30"/>
      <c r="G1" s="30"/>
      <c r="H1" s="30"/>
      <c r="I1" s="30"/>
      <c r="J1" s="30"/>
      <c r="K1" s="31"/>
      <c r="L1" s="32" t="s">
        <v>56</v>
      </c>
      <c r="M1" s="33"/>
      <c r="N1" s="34"/>
      <c r="Q1" s="22" t="s">
        <v>43</v>
      </c>
      <c r="R1" s="35"/>
      <c r="S1" s="35"/>
    </row>
    <row r="4" spans="1:19" x14ac:dyDescent="0.25">
      <c r="A4" s="22" t="s">
        <v>50</v>
      </c>
      <c r="D4" s="8">
        <v>386</v>
      </c>
      <c r="E4" s="1"/>
      <c r="F4" s="1"/>
      <c r="G4" s="1"/>
    </row>
    <row r="5" spans="1:19" x14ac:dyDescent="0.25">
      <c r="A5" s="22" t="s">
        <v>57</v>
      </c>
      <c r="D5" s="8" t="s">
        <v>58</v>
      </c>
      <c r="E5" s="1"/>
      <c r="F5" s="1"/>
      <c r="G5" s="1"/>
    </row>
    <row r="6" spans="1:19" x14ac:dyDescent="0.25">
      <c r="A6" s="22" t="s">
        <v>0</v>
      </c>
      <c r="D6" s="8" t="s">
        <v>59</v>
      </c>
      <c r="E6" s="1"/>
      <c r="F6" s="1"/>
      <c r="G6" s="1"/>
    </row>
    <row r="7" spans="1:19" x14ac:dyDescent="0.25">
      <c r="A7" s="22" t="s">
        <v>1</v>
      </c>
      <c r="D7" s="8" t="s">
        <v>60</v>
      </c>
      <c r="E7" s="1"/>
      <c r="F7" s="1"/>
      <c r="G7" s="1"/>
    </row>
    <row r="8" spans="1:19" x14ac:dyDescent="0.25">
      <c r="A8" s="22" t="s">
        <v>2</v>
      </c>
      <c r="D8" s="9">
        <v>45849</v>
      </c>
      <c r="E8" s="1"/>
      <c r="F8" s="1"/>
      <c r="G8" s="1"/>
    </row>
    <row r="9" spans="1:19" x14ac:dyDescent="0.25">
      <c r="A9" s="22" t="s">
        <v>3</v>
      </c>
      <c r="D9" s="9">
        <v>45877</v>
      </c>
      <c r="E9" s="1"/>
      <c r="F9" s="1"/>
      <c r="G9" s="1"/>
    </row>
    <row r="10" spans="1:19" x14ac:dyDescent="0.25">
      <c r="A10" s="22" t="s">
        <v>22</v>
      </c>
      <c r="D10" s="8" t="s">
        <v>61</v>
      </c>
      <c r="E10" s="1"/>
      <c r="F10" s="1"/>
      <c r="G10" s="1"/>
    </row>
    <row r="11" spans="1:19" x14ac:dyDescent="0.25">
      <c r="A11" s="22" t="s">
        <v>23</v>
      </c>
      <c r="D11" s="8" t="s">
        <v>62</v>
      </c>
      <c r="E11" s="1"/>
      <c r="F11" s="1"/>
      <c r="G11" s="1"/>
    </row>
    <row r="13" spans="1:19" ht="15.75" thickBot="1" x14ac:dyDescent="0.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</row>
    <row r="14" spans="1:19" ht="15.75" thickTop="1" x14ac:dyDescent="0.25"/>
    <row r="15" spans="1:19" x14ac:dyDescent="0.25">
      <c r="A15" s="22" t="s">
        <v>4</v>
      </c>
    </row>
    <row r="17" spans="1:7" x14ac:dyDescent="0.25">
      <c r="A17" s="22" t="s">
        <v>5</v>
      </c>
      <c r="D17" s="2">
        <v>45866</v>
      </c>
      <c r="E17" s="1"/>
      <c r="F17" s="1"/>
      <c r="G17" s="1"/>
    </row>
    <row r="18" spans="1:7" x14ac:dyDescent="0.25">
      <c r="A18" s="22" t="s">
        <v>6</v>
      </c>
      <c r="D18" s="3" t="s">
        <v>132</v>
      </c>
      <c r="E18" s="3"/>
      <c r="F18" s="3"/>
      <c r="G18" s="3"/>
    </row>
    <row r="19" spans="1:7" x14ac:dyDescent="0.25">
      <c r="A19" s="22" t="s">
        <v>7</v>
      </c>
      <c r="D19" s="3" t="s">
        <v>69</v>
      </c>
      <c r="E19" s="3"/>
      <c r="F19" s="3"/>
      <c r="G19" s="3"/>
    </row>
    <row r="21" spans="1:7" x14ac:dyDescent="0.25">
      <c r="A21" s="22" t="s">
        <v>8</v>
      </c>
    </row>
    <row r="23" spans="1:7" x14ac:dyDescent="0.25">
      <c r="A23" s="21" t="s">
        <v>9</v>
      </c>
      <c r="B23" s="24" t="s">
        <v>10</v>
      </c>
      <c r="C23" s="24"/>
      <c r="D23" s="21" t="s">
        <v>11</v>
      </c>
    </row>
    <row r="24" spans="1:7" x14ac:dyDescent="0.25">
      <c r="A24" s="20" t="s">
        <v>13</v>
      </c>
      <c r="B24" s="14"/>
      <c r="C24" s="14"/>
      <c r="D24" s="4"/>
    </row>
    <row r="25" spans="1:7" x14ac:dyDescent="0.25">
      <c r="A25" s="20" t="s">
        <v>14</v>
      </c>
      <c r="B25" s="14"/>
      <c r="C25" s="14"/>
      <c r="D25" s="4"/>
    </row>
    <row r="26" spans="1:7" x14ac:dyDescent="0.25">
      <c r="A26" s="20" t="s">
        <v>15</v>
      </c>
      <c r="B26" s="14"/>
      <c r="C26" s="14"/>
      <c r="D26" s="4"/>
    </row>
    <row r="27" spans="1:7" x14ac:dyDescent="0.25">
      <c r="A27" s="20" t="s">
        <v>16</v>
      </c>
      <c r="B27" s="14" t="s">
        <v>63</v>
      </c>
      <c r="C27" s="14"/>
      <c r="D27" s="4" t="s">
        <v>64</v>
      </c>
    </row>
    <row r="28" spans="1:7" x14ac:dyDescent="0.25">
      <c r="A28" s="20" t="s">
        <v>46</v>
      </c>
      <c r="B28" s="14" t="s">
        <v>65</v>
      </c>
      <c r="C28" s="14"/>
      <c r="D28" s="10">
        <v>45955</v>
      </c>
    </row>
    <row r="29" spans="1:7" x14ac:dyDescent="0.25">
      <c r="A29" s="20" t="s">
        <v>47</v>
      </c>
      <c r="B29" s="14" t="s">
        <v>66</v>
      </c>
      <c r="C29" s="14"/>
      <c r="D29" s="4" t="s">
        <v>67</v>
      </c>
    </row>
    <row r="30" spans="1:7" x14ac:dyDescent="0.25">
      <c r="A30" s="20" t="s">
        <v>52</v>
      </c>
      <c r="B30" s="14"/>
      <c r="C30" s="14"/>
      <c r="D30" s="4"/>
    </row>
    <row r="31" spans="1:7" x14ac:dyDescent="0.25">
      <c r="A31" s="20" t="s">
        <v>48</v>
      </c>
      <c r="B31" s="14"/>
      <c r="C31" s="14"/>
      <c r="D31" s="4"/>
    </row>
    <row r="32" spans="1:7" x14ac:dyDescent="0.25">
      <c r="A32" s="20" t="s">
        <v>49</v>
      </c>
      <c r="B32" s="14" t="s">
        <v>68</v>
      </c>
      <c r="C32" s="14"/>
      <c r="D32" s="4" t="s">
        <v>67</v>
      </c>
    </row>
    <row r="33" spans="1:14" x14ac:dyDescent="0.25">
      <c r="B33" s="25"/>
      <c r="C33" s="25"/>
    </row>
    <row r="35" spans="1:14" x14ac:dyDescent="0.25">
      <c r="A35" s="22" t="s">
        <v>12</v>
      </c>
      <c r="D35" s="1" t="s">
        <v>73</v>
      </c>
      <c r="E35" s="1"/>
      <c r="F35" s="1"/>
      <c r="G35" s="1"/>
    </row>
    <row r="38" spans="1:14" x14ac:dyDescent="0.25">
      <c r="A38" s="22" t="s">
        <v>17</v>
      </c>
    </row>
    <row r="40" spans="1:14" x14ac:dyDescent="0.25">
      <c r="A40" s="21" t="s">
        <v>9</v>
      </c>
      <c r="B40" s="24" t="s">
        <v>10</v>
      </c>
      <c r="C40" s="24"/>
      <c r="D40" s="21" t="s">
        <v>11</v>
      </c>
    </row>
    <row r="41" spans="1:14" x14ac:dyDescent="0.25">
      <c r="A41" s="20" t="s">
        <v>44</v>
      </c>
      <c r="B41" s="14" t="s">
        <v>70</v>
      </c>
      <c r="C41" s="14"/>
      <c r="D41" s="4" t="s">
        <v>67</v>
      </c>
    </row>
    <row r="42" spans="1:14" x14ac:dyDescent="0.25">
      <c r="A42" s="20" t="s">
        <v>45</v>
      </c>
      <c r="B42" s="14" t="s">
        <v>72</v>
      </c>
      <c r="C42" s="14"/>
      <c r="D42" s="4" t="s">
        <v>71</v>
      </c>
    </row>
    <row r="45" spans="1:14" ht="15.75" thickBot="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</row>
    <row r="46" spans="1:14" ht="15.75" thickTop="1" x14ac:dyDescent="0.25"/>
    <row r="47" spans="1:14" x14ac:dyDescent="0.25">
      <c r="A47" s="22" t="s">
        <v>55</v>
      </c>
    </row>
    <row r="49" spans="1:14" x14ac:dyDescent="0.25">
      <c r="A49" s="22" t="s">
        <v>5</v>
      </c>
      <c r="D49" s="2">
        <v>45866</v>
      </c>
      <c r="E49" s="1"/>
    </row>
    <row r="50" spans="1:14" x14ac:dyDescent="0.25">
      <c r="A50" s="22" t="s">
        <v>18</v>
      </c>
    </row>
    <row r="51" spans="1:14" x14ac:dyDescent="0.25">
      <c r="A51" s="1" t="s">
        <v>76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7" spans="1:14" x14ac:dyDescent="0.25">
      <c r="A57" s="22" t="s">
        <v>5</v>
      </c>
      <c r="D57" s="2">
        <v>45867</v>
      </c>
      <c r="E57" s="1"/>
    </row>
    <row r="58" spans="1:14" x14ac:dyDescent="0.25">
      <c r="A58" s="22" t="s">
        <v>18</v>
      </c>
    </row>
    <row r="59" spans="1:14" x14ac:dyDescent="0.25">
      <c r="A59" s="1" t="s">
        <v>77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 t="s">
        <v>79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 t="s">
        <v>78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3" t="s">
        <v>84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5" spans="1:14" x14ac:dyDescent="0.25">
      <c r="A65" s="22" t="s">
        <v>5</v>
      </c>
      <c r="D65" s="2">
        <v>45868</v>
      </c>
      <c r="E65" s="1"/>
    </row>
    <row r="66" spans="1:14" x14ac:dyDescent="0.25">
      <c r="A66" s="22" t="s">
        <v>18</v>
      </c>
    </row>
    <row r="67" spans="1:14" x14ac:dyDescent="0.25">
      <c r="A67" s="1" t="s">
        <v>80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1" t="s">
        <v>81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 t="s">
        <v>82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3" t="s">
        <v>83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3" spans="1:14" x14ac:dyDescent="0.25">
      <c r="A73" s="22" t="s">
        <v>5</v>
      </c>
      <c r="D73" s="2">
        <v>45869</v>
      </c>
      <c r="E73" s="1"/>
    </row>
    <row r="74" spans="1:14" x14ac:dyDescent="0.25">
      <c r="A74" s="22" t="s">
        <v>18</v>
      </c>
    </row>
    <row r="75" spans="1:14" x14ac:dyDescent="0.25">
      <c r="A75" s="1" t="s">
        <v>85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 t="s">
        <v>86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81" spans="1:14" x14ac:dyDescent="0.25">
      <c r="A81" s="22" t="s">
        <v>5</v>
      </c>
      <c r="D81" s="2">
        <v>45870</v>
      </c>
      <c r="E81" s="1"/>
    </row>
    <row r="82" spans="1:14" x14ac:dyDescent="0.25">
      <c r="A82" s="22" t="s">
        <v>18</v>
      </c>
    </row>
    <row r="83" spans="1:14" x14ac:dyDescent="0.25">
      <c r="A83" s="1" t="s">
        <v>87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9" spans="1:14" x14ac:dyDescent="0.25">
      <c r="A89" s="22" t="s">
        <v>5</v>
      </c>
      <c r="D89" s="2">
        <v>45873</v>
      </c>
      <c r="E89" s="1"/>
    </row>
    <row r="90" spans="1:14" x14ac:dyDescent="0.25">
      <c r="A90" s="22" t="s">
        <v>18</v>
      </c>
    </row>
    <row r="91" spans="1:14" x14ac:dyDescent="0.25">
      <c r="A91" s="1" t="s">
        <v>143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 t="s">
        <v>136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3" t="s">
        <v>135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</sheetData>
  <mergeCells count="17">
    <mergeCell ref="R1:S1"/>
    <mergeCell ref="L1:N1"/>
    <mergeCell ref="B23:C23"/>
    <mergeCell ref="B28:C28"/>
    <mergeCell ref="B27:C27"/>
    <mergeCell ref="B26:C26"/>
    <mergeCell ref="B25:C25"/>
    <mergeCell ref="B24:C24"/>
    <mergeCell ref="B40:C40"/>
    <mergeCell ref="B42:C42"/>
    <mergeCell ref="B41:C41"/>
    <mergeCell ref="A1:C1"/>
    <mergeCell ref="D1:K1"/>
    <mergeCell ref="B29:C29"/>
    <mergeCell ref="B31:C31"/>
    <mergeCell ref="B32:C32"/>
    <mergeCell ref="B30:C30"/>
  </mergeCells>
  <pageMargins left="0.7" right="0.7" top="0.75" bottom="0.75" header="0.3" footer="0.3"/>
  <pageSetup paperSize="9" scale="4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18DB-11D3-4357-82E3-4A933D519714}">
  <sheetPr>
    <pageSetUpPr fitToPage="1"/>
  </sheetPr>
  <dimension ref="A1:T94"/>
  <sheetViews>
    <sheetView tabSelected="1" workbookViewId="0">
      <selection activeCell="V7" sqref="V7"/>
    </sheetView>
  </sheetViews>
  <sheetFormatPr defaultRowHeight="15" x14ac:dyDescent="0.25"/>
  <cols>
    <col min="1" max="3" width="9.140625" style="21"/>
    <col min="4" max="4" width="6" style="21" bestFit="1" customWidth="1"/>
    <col min="5" max="7" width="9.140625" style="21"/>
    <col min="8" max="8" width="16.85546875" style="21" customWidth="1"/>
    <col min="9" max="11" width="9.140625" style="21"/>
    <col min="12" max="12" width="11.5703125" style="21" customWidth="1"/>
    <col min="13" max="14" width="9.140625" style="21"/>
    <col min="15" max="15" width="9.140625" style="21" customWidth="1"/>
    <col min="16" max="16384" width="9.140625" style="21"/>
  </cols>
  <sheetData>
    <row r="1" spans="1:20" ht="76.5" customHeight="1" thickBot="1" x14ac:dyDescent="0.3">
      <c r="A1" s="26"/>
      <c r="B1" s="27"/>
      <c r="C1" s="28"/>
      <c r="D1" s="29" t="s">
        <v>42</v>
      </c>
      <c r="E1" s="30"/>
      <c r="F1" s="30"/>
      <c r="G1" s="30"/>
      <c r="H1" s="30"/>
      <c r="I1" s="30"/>
      <c r="J1" s="30"/>
      <c r="K1" s="30"/>
      <c r="L1" s="43"/>
      <c r="M1" s="32" t="s">
        <v>56</v>
      </c>
      <c r="N1" s="33"/>
      <c r="O1" s="34"/>
      <c r="R1" s="22" t="s">
        <v>43</v>
      </c>
      <c r="S1" s="35"/>
      <c r="T1" s="35"/>
    </row>
    <row r="4" spans="1:20" x14ac:dyDescent="0.25">
      <c r="A4" s="22" t="s">
        <v>24</v>
      </c>
      <c r="D4" s="1" t="s">
        <v>89</v>
      </c>
      <c r="E4" s="1"/>
      <c r="F4" s="1"/>
      <c r="G4" s="1"/>
    </row>
    <row r="5" spans="1:20" x14ac:dyDescent="0.25"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</row>
    <row r="6" spans="1:20" ht="15.75" thickBot="1" x14ac:dyDescent="0.3">
      <c r="A6" s="23"/>
      <c r="B6" s="39" t="s">
        <v>25</v>
      </c>
      <c r="C6" s="39"/>
      <c r="D6" s="39"/>
      <c r="E6" s="39"/>
      <c r="F6" s="39"/>
      <c r="G6" s="39"/>
      <c r="H6" s="40" t="s">
        <v>75</v>
      </c>
      <c r="I6" s="40" t="s">
        <v>19</v>
      </c>
      <c r="J6" s="40" t="s">
        <v>20</v>
      </c>
      <c r="K6" s="40" t="s">
        <v>21</v>
      </c>
      <c r="L6" s="40" t="s">
        <v>139</v>
      </c>
      <c r="M6" s="39" t="s">
        <v>105</v>
      </c>
      <c r="N6" s="39"/>
      <c r="O6" s="39"/>
    </row>
    <row r="7" spans="1:20" ht="15.75" thickTop="1" x14ac:dyDescent="0.25">
      <c r="A7" s="37" t="s">
        <v>26</v>
      </c>
      <c r="B7" s="38"/>
      <c r="C7" s="41" t="s">
        <v>88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</row>
    <row r="8" spans="1:20" x14ac:dyDescent="0.25">
      <c r="A8" s="36" t="s">
        <v>27</v>
      </c>
      <c r="B8" s="15" t="s">
        <v>126</v>
      </c>
      <c r="C8" s="15"/>
      <c r="D8" s="15"/>
      <c r="E8" s="15"/>
      <c r="F8" s="15"/>
      <c r="G8" s="15"/>
      <c r="H8" s="7" t="s">
        <v>108</v>
      </c>
      <c r="I8" s="7" t="s">
        <v>104</v>
      </c>
      <c r="J8" s="7" t="s">
        <v>106</v>
      </c>
      <c r="K8" s="7" t="s">
        <v>104</v>
      </c>
      <c r="L8" s="7"/>
      <c r="M8" s="16" t="s">
        <v>128</v>
      </c>
      <c r="N8" s="16"/>
      <c r="O8" s="16"/>
    </row>
    <row r="9" spans="1:20" x14ac:dyDescent="0.25">
      <c r="A9" s="36" t="s">
        <v>28</v>
      </c>
      <c r="B9" s="15" t="s">
        <v>127</v>
      </c>
      <c r="C9" s="15"/>
      <c r="D9" s="15"/>
      <c r="E9" s="15"/>
      <c r="F9" s="15"/>
      <c r="G9" s="15"/>
      <c r="H9" s="7" t="s">
        <v>108</v>
      </c>
      <c r="I9" s="7" t="s">
        <v>104</v>
      </c>
      <c r="J9" s="7" t="s">
        <v>106</v>
      </c>
      <c r="K9" s="7" t="s">
        <v>104</v>
      </c>
      <c r="L9" s="7"/>
      <c r="M9" s="16" t="s">
        <v>128</v>
      </c>
      <c r="N9" s="16"/>
      <c r="O9" s="16"/>
    </row>
    <row r="10" spans="1:20" x14ac:dyDescent="0.25">
      <c r="A10" s="36" t="s">
        <v>29</v>
      </c>
      <c r="B10" s="15"/>
      <c r="C10" s="15"/>
      <c r="D10" s="15"/>
      <c r="E10" s="15"/>
      <c r="F10" s="15"/>
      <c r="G10" s="15"/>
      <c r="H10" s="7"/>
      <c r="I10" s="7"/>
      <c r="J10" s="7"/>
      <c r="K10" s="7"/>
      <c r="L10" s="7"/>
      <c r="M10" s="16"/>
      <c r="N10" s="16"/>
      <c r="O10" s="16"/>
    </row>
    <row r="11" spans="1:20" x14ac:dyDescent="0.25">
      <c r="A11" s="36" t="s">
        <v>30</v>
      </c>
      <c r="B11" s="15"/>
      <c r="C11" s="15"/>
      <c r="D11" s="15"/>
      <c r="E11" s="15"/>
      <c r="F11" s="15"/>
      <c r="G11" s="15"/>
      <c r="H11" s="7"/>
      <c r="I11" s="7"/>
      <c r="J11" s="7"/>
      <c r="K11" s="7"/>
      <c r="L11" s="7"/>
      <c r="M11" s="16"/>
      <c r="N11" s="16"/>
      <c r="O11" s="16"/>
    </row>
    <row r="12" spans="1:20" x14ac:dyDescent="0.25">
      <c r="A12" s="36" t="s">
        <v>31</v>
      </c>
      <c r="B12" s="15"/>
      <c r="C12" s="15"/>
      <c r="D12" s="15"/>
      <c r="E12" s="15"/>
      <c r="F12" s="15"/>
      <c r="G12" s="15"/>
      <c r="H12" s="7"/>
      <c r="I12" s="7"/>
      <c r="J12" s="7"/>
      <c r="K12" s="7"/>
      <c r="L12" s="7"/>
      <c r="M12" s="16"/>
      <c r="N12" s="16"/>
      <c r="O12" s="16"/>
    </row>
    <row r="14" spans="1:20" x14ac:dyDescent="0.25">
      <c r="A14" s="37" t="s">
        <v>26</v>
      </c>
      <c r="B14" s="38"/>
      <c r="C14" s="22" t="s">
        <v>47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</row>
    <row r="15" spans="1:20" x14ac:dyDescent="0.25">
      <c r="A15" s="36" t="s">
        <v>27</v>
      </c>
      <c r="B15" s="15" t="s">
        <v>98</v>
      </c>
      <c r="C15" s="15"/>
      <c r="D15" s="15"/>
      <c r="E15" s="15"/>
      <c r="F15" s="15"/>
      <c r="G15" s="15"/>
      <c r="H15" s="7" t="s">
        <v>100</v>
      </c>
      <c r="I15" s="7" t="s">
        <v>104</v>
      </c>
      <c r="J15" s="7" t="s">
        <v>106</v>
      </c>
      <c r="K15" s="7"/>
      <c r="L15" s="7"/>
      <c r="M15" s="16" t="s">
        <v>112</v>
      </c>
      <c r="N15" s="16"/>
      <c r="O15" s="16"/>
    </row>
    <row r="16" spans="1:20" x14ac:dyDescent="0.25">
      <c r="A16" s="36" t="s">
        <v>28</v>
      </c>
      <c r="B16" s="15" t="s">
        <v>99</v>
      </c>
      <c r="C16" s="15"/>
      <c r="D16" s="15"/>
      <c r="E16" s="15"/>
      <c r="F16" s="15"/>
      <c r="G16" s="15"/>
      <c r="H16" s="7" t="s">
        <v>101</v>
      </c>
      <c r="I16" s="7" t="s">
        <v>106</v>
      </c>
      <c r="J16" s="7" t="s">
        <v>106</v>
      </c>
      <c r="K16" s="7"/>
      <c r="L16" s="7"/>
      <c r="M16" s="16" t="s">
        <v>137</v>
      </c>
      <c r="N16" s="16"/>
      <c r="O16" s="16"/>
    </row>
    <row r="17" spans="1:15" x14ac:dyDescent="0.25">
      <c r="A17" s="36" t="s">
        <v>29</v>
      </c>
      <c r="B17" s="15"/>
      <c r="C17" s="15"/>
      <c r="D17" s="15"/>
      <c r="E17" s="15"/>
      <c r="F17" s="15"/>
      <c r="G17" s="15"/>
      <c r="H17" s="7"/>
      <c r="I17" s="7"/>
      <c r="J17" s="7"/>
      <c r="K17" s="7"/>
      <c r="L17" s="7"/>
      <c r="M17" s="16"/>
      <c r="N17" s="16"/>
      <c r="O17" s="16"/>
    </row>
    <row r="18" spans="1:15" x14ac:dyDescent="0.25">
      <c r="A18" s="36" t="s">
        <v>30</v>
      </c>
      <c r="B18" s="15"/>
      <c r="C18" s="15"/>
      <c r="D18" s="15"/>
      <c r="E18" s="15"/>
      <c r="F18" s="15"/>
      <c r="G18" s="15"/>
      <c r="H18" s="7"/>
      <c r="I18" s="7"/>
      <c r="J18" s="7"/>
      <c r="K18" s="7"/>
      <c r="L18" s="7"/>
      <c r="M18" s="16"/>
      <c r="N18" s="16"/>
      <c r="O18" s="16"/>
    </row>
    <row r="19" spans="1:15" x14ac:dyDescent="0.25">
      <c r="A19" s="36" t="s">
        <v>31</v>
      </c>
      <c r="B19" s="15"/>
      <c r="C19" s="15"/>
      <c r="D19" s="15"/>
      <c r="E19" s="15"/>
      <c r="F19" s="15"/>
      <c r="G19" s="15"/>
      <c r="H19" s="7"/>
      <c r="I19" s="7"/>
      <c r="J19" s="7"/>
      <c r="K19" s="7"/>
      <c r="L19" s="7"/>
      <c r="M19" s="16"/>
      <c r="N19" s="16"/>
      <c r="O19" s="16"/>
    </row>
    <row r="21" spans="1:15" x14ac:dyDescent="0.25">
      <c r="A21" s="37" t="s">
        <v>26</v>
      </c>
      <c r="B21" s="38"/>
      <c r="C21" s="22" t="s">
        <v>49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</row>
    <row r="22" spans="1:15" x14ac:dyDescent="0.25">
      <c r="A22" s="36" t="s">
        <v>27</v>
      </c>
      <c r="B22" s="15" t="s">
        <v>102</v>
      </c>
      <c r="C22" s="15"/>
      <c r="D22" s="15"/>
      <c r="E22" s="15"/>
      <c r="F22" s="15"/>
      <c r="G22" s="15"/>
      <c r="H22" s="7" t="s">
        <v>100</v>
      </c>
      <c r="I22" s="7" t="s">
        <v>104</v>
      </c>
      <c r="J22" s="7" t="s">
        <v>106</v>
      </c>
      <c r="K22" s="7"/>
      <c r="L22" s="7"/>
      <c r="M22" s="16" t="s">
        <v>112</v>
      </c>
      <c r="N22" s="16"/>
      <c r="O22" s="16"/>
    </row>
    <row r="23" spans="1:15" x14ac:dyDescent="0.25">
      <c r="A23" s="36" t="s">
        <v>28</v>
      </c>
      <c r="B23" s="15" t="s">
        <v>103</v>
      </c>
      <c r="C23" s="15"/>
      <c r="D23" s="15"/>
      <c r="E23" s="15"/>
      <c r="F23" s="15"/>
      <c r="G23" s="15"/>
      <c r="H23" s="7" t="s">
        <v>101</v>
      </c>
      <c r="I23" s="7" t="s">
        <v>106</v>
      </c>
      <c r="J23" s="7" t="s">
        <v>106</v>
      </c>
      <c r="K23" s="7"/>
      <c r="L23" s="7"/>
      <c r="M23" s="16" t="s">
        <v>137</v>
      </c>
      <c r="N23" s="16"/>
      <c r="O23" s="16"/>
    </row>
    <row r="24" spans="1:15" x14ac:dyDescent="0.25">
      <c r="A24" s="36" t="s">
        <v>29</v>
      </c>
      <c r="B24" s="15"/>
      <c r="C24" s="15"/>
      <c r="D24" s="15"/>
      <c r="E24" s="15"/>
      <c r="F24" s="15"/>
      <c r="G24" s="15"/>
      <c r="H24" s="7"/>
      <c r="I24" s="7"/>
      <c r="J24" s="7"/>
      <c r="K24" s="7"/>
      <c r="L24" s="7"/>
      <c r="M24" s="16"/>
      <c r="N24" s="16"/>
      <c r="O24" s="16"/>
    </row>
    <row r="25" spans="1:15" x14ac:dyDescent="0.25">
      <c r="A25" s="36" t="s">
        <v>30</v>
      </c>
      <c r="B25" s="15"/>
      <c r="C25" s="15"/>
      <c r="D25" s="15"/>
      <c r="E25" s="15"/>
      <c r="F25" s="15"/>
      <c r="G25" s="15"/>
      <c r="H25" s="7"/>
      <c r="I25" s="7"/>
      <c r="J25" s="7"/>
      <c r="K25" s="7"/>
      <c r="L25" s="7"/>
      <c r="M25" s="16"/>
      <c r="N25" s="16"/>
      <c r="O25" s="16"/>
    </row>
    <row r="26" spans="1:15" x14ac:dyDescent="0.25">
      <c r="A26" s="36" t="s">
        <v>31</v>
      </c>
      <c r="B26" s="15"/>
      <c r="C26" s="15"/>
      <c r="D26" s="15"/>
      <c r="E26" s="15"/>
      <c r="F26" s="15"/>
      <c r="G26" s="15"/>
      <c r="H26" s="7"/>
      <c r="I26" s="7"/>
      <c r="J26" s="7"/>
      <c r="K26" s="7"/>
      <c r="L26" s="7"/>
      <c r="M26" s="16"/>
      <c r="N26" s="16"/>
      <c r="O26" s="16"/>
    </row>
    <row r="27" spans="1:15" x14ac:dyDescent="0.25">
      <c r="B27" s="25"/>
      <c r="C27" s="25"/>
      <c r="D27" s="25"/>
      <c r="E27" s="25"/>
      <c r="F27" s="25"/>
      <c r="G27" s="25"/>
    </row>
    <row r="28" spans="1:15" x14ac:dyDescent="0.25">
      <c r="A28" s="37" t="s">
        <v>26</v>
      </c>
      <c r="B28" s="38"/>
      <c r="C28" s="22" t="s">
        <v>16</v>
      </c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</row>
    <row r="29" spans="1:15" x14ac:dyDescent="0.25">
      <c r="A29" s="36" t="s">
        <v>27</v>
      </c>
      <c r="B29" s="15" t="s">
        <v>107</v>
      </c>
      <c r="C29" s="15"/>
      <c r="D29" s="15"/>
      <c r="E29" s="15"/>
      <c r="F29" s="15"/>
      <c r="G29" s="15"/>
      <c r="H29" s="7" t="s">
        <v>100</v>
      </c>
      <c r="I29" s="7" t="s">
        <v>104</v>
      </c>
      <c r="J29" s="7" t="s">
        <v>106</v>
      </c>
      <c r="K29" s="7" t="s">
        <v>106</v>
      </c>
      <c r="L29" s="7"/>
      <c r="M29" s="16" t="s">
        <v>112</v>
      </c>
      <c r="N29" s="16"/>
      <c r="O29" s="16"/>
    </row>
    <row r="30" spans="1:15" x14ac:dyDescent="0.25">
      <c r="A30" s="36" t="s">
        <v>28</v>
      </c>
      <c r="B30" s="15" t="s">
        <v>109</v>
      </c>
      <c r="C30" s="15"/>
      <c r="D30" s="15"/>
      <c r="E30" s="15"/>
      <c r="F30" s="15"/>
      <c r="G30" s="15"/>
      <c r="H30" s="7" t="s">
        <v>108</v>
      </c>
      <c r="I30" s="7" t="s">
        <v>104</v>
      </c>
      <c r="J30" s="7" t="s">
        <v>106</v>
      </c>
      <c r="K30" s="7" t="s">
        <v>104</v>
      </c>
      <c r="L30" s="7"/>
      <c r="M30" s="16" t="s">
        <v>113</v>
      </c>
      <c r="N30" s="16"/>
      <c r="O30" s="16"/>
    </row>
    <row r="31" spans="1:15" x14ac:dyDescent="0.25">
      <c r="A31" s="36" t="s">
        <v>29</v>
      </c>
      <c r="B31" s="15"/>
      <c r="C31" s="15"/>
      <c r="D31" s="15"/>
      <c r="E31" s="15"/>
      <c r="F31" s="15"/>
      <c r="G31" s="15"/>
      <c r="H31" s="7"/>
      <c r="I31" s="7"/>
      <c r="J31" s="7"/>
      <c r="K31" s="7"/>
      <c r="L31" s="7"/>
      <c r="M31" s="16"/>
      <c r="N31" s="16"/>
      <c r="O31" s="16"/>
    </row>
    <row r="32" spans="1:15" x14ac:dyDescent="0.25">
      <c r="A32" s="36" t="s">
        <v>30</v>
      </c>
      <c r="B32" s="15"/>
      <c r="C32" s="15"/>
      <c r="D32" s="15"/>
      <c r="E32" s="15"/>
      <c r="F32" s="15"/>
      <c r="G32" s="15"/>
      <c r="H32" s="7"/>
      <c r="I32" s="7"/>
      <c r="J32" s="7"/>
      <c r="K32" s="7"/>
      <c r="L32" s="7"/>
      <c r="M32" s="16"/>
      <c r="N32" s="16"/>
      <c r="O32" s="16"/>
    </row>
    <row r="33" spans="1:15" x14ac:dyDescent="0.25">
      <c r="A33" s="36" t="s">
        <v>31</v>
      </c>
      <c r="B33" s="15"/>
      <c r="C33" s="15"/>
      <c r="D33" s="15"/>
      <c r="E33" s="15"/>
      <c r="F33" s="15"/>
      <c r="G33" s="15"/>
      <c r="H33" s="7"/>
      <c r="I33" s="7"/>
      <c r="J33" s="7"/>
      <c r="K33" s="7"/>
      <c r="L33" s="7"/>
      <c r="M33" s="16"/>
      <c r="N33" s="16"/>
      <c r="O33" s="16"/>
    </row>
    <row r="35" spans="1:15" x14ac:dyDescent="0.25">
      <c r="A35" s="37" t="s">
        <v>26</v>
      </c>
      <c r="B35" s="38"/>
      <c r="C35" s="22" t="s">
        <v>46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</row>
    <row r="36" spans="1:15" x14ac:dyDescent="0.25">
      <c r="A36" s="36" t="s">
        <v>27</v>
      </c>
      <c r="B36" s="15" t="s">
        <v>110</v>
      </c>
      <c r="C36" s="15"/>
      <c r="D36" s="15"/>
      <c r="E36" s="15"/>
      <c r="F36" s="15"/>
      <c r="G36" s="15"/>
      <c r="H36" s="7" t="s">
        <v>100</v>
      </c>
      <c r="I36" s="7" t="s">
        <v>104</v>
      </c>
      <c r="J36" s="7" t="s">
        <v>106</v>
      </c>
      <c r="K36" s="7" t="s">
        <v>106</v>
      </c>
      <c r="L36" s="13" t="s">
        <v>140</v>
      </c>
      <c r="M36" s="16" t="s">
        <v>95</v>
      </c>
      <c r="N36" s="16"/>
      <c r="O36" s="16"/>
    </row>
    <row r="37" spans="1:15" x14ac:dyDescent="0.25">
      <c r="A37" s="36" t="s">
        <v>28</v>
      </c>
      <c r="B37" s="15" t="s">
        <v>111</v>
      </c>
      <c r="C37" s="15"/>
      <c r="D37" s="15"/>
      <c r="E37" s="15"/>
      <c r="F37" s="15"/>
      <c r="G37" s="15"/>
      <c r="H37" s="7" t="s">
        <v>100</v>
      </c>
      <c r="I37" s="7" t="s">
        <v>104</v>
      </c>
      <c r="J37" s="7" t="s">
        <v>106</v>
      </c>
      <c r="K37" s="7" t="s">
        <v>106</v>
      </c>
      <c r="L37" s="13" t="s">
        <v>141</v>
      </c>
      <c r="M37" s="16" t="s">
        <v>96</v>
      </c>
      <c r="N37" s="16"/>
      <c r="O37" s="16"/>
    </row>
    <row r="38" spans="1:15" x14ac:dyDescent="0.25">
      <c r="A38" s="36" t="s">
        <v>29</v>
      </c>
      <c r="B38" s="15"/>
      <c r="C38" s="15"/>
      <c r="D38" s="15"/>
      <c r="E38" s="15"/>
      <c r="F38" s="15"/>
      <c r="G38" s="15"/>
      <c r="H38" s="7"/>
      <c r="I38" s="7"/>
      <c r="J38" s="7"/>
      <c r="K38" s="7"/>
      <c r="L38" s="7"/>
      <c r="M38" s="16"/>
      <c r="N38" s="16"/>
      <c r="O38" s="16"/>
    </row>
    <row r="39" spans="1:15" x14ac:dyDescent="0.25">
      <c r="A39" s="36" t="s">
        <v>30</v>
      </c>
      <c r="B39" s="15"/>
      <c r="C39" s="15"/>
      <c r="D39" s="15"/>
      <c r="E39" s="15"/>
      <c r="F39" s="15"/>
      <c r="G39" s="15"/>
      <c r="H39" s="7"/>
      <c r="I39" s="7"/>
      <c r="J39" s="7"/>
      <c r="K39" s="7"/>
      <c r="L39" s="7"/>
      <c r="M39" s="16"/>
      <c r="N39" s="16"/>
      <c r="O39" s="16"/>
    </row>
    <row r="40" spans="1:15" x14ac:dyDescent="0.25">
      <c r="A40" s="36" t="s">
        <v>31</v>
      </c>
      <c r="B40" s="15"/>
      <c r="C40" s="15"/>
      <c r="D40" s="15"/>
      <c r="E40" s="15"/>
      <c r="F40" s="15"/>
      <c r="G40" s="15"/>
      <c r="H40" s="7"/>
      <c r="I40" s="7"/>
      <c r="J40" s="7"/>
      <c r="K40" s="7"/>
      <c r="L40" s="7"/>
      <c r="M40" s="16"/>
      <c r="N40" s="16"/>
      <c r="O40" s="16"/>
    </row>
    <row r="41" spans="1:15" x14ac:dyDescent="0.25">
      <c r="B41" s="42"/>
      <c r="C41" s="42"/>
      <c r="D41" s="42"/>
      <c r="E41" s="42"/>
      <c r="F41" s="42"/>
      <c r="G41" s="42"/>
      <c r="H41" s="42"/>
      <c r="M41" s="42"/>
      <c r="N41" s="42"/>
      <c r="O41" s="42"/>
    </row>
    <row r="42" spans="1:15" x14ac:dyDescent="0.25">
      <c r="A42" s="37" t="s">
        <v>26</v>
      </c>
      <c r="B42" s="38"/>
      <c r="C42" s="22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</row>
    <row r="43" spans="1:15" x14ac:dyDescent="0.25">
      <c r="A43" s="36" t="s">
        <v>27</v>
      </c>
      <c r="B43" s="17"/>
      <c r="C43" s="18"/>
      <c r="D43" s="18"/>
      <c r="E43" s="18"/>
      <c r="F43" s="18"/>
      <c r="G43" s="19"/>
      <c r="H43" s="7"/>
      <c r="I43" s="7"/>
      <c r="J43" s="7"/>
      <c r="K43" s="7"/>
      <c r="L43" s="7"/>
      <c r="M43" s="16"/>
      <c r="N43" s="16"/>
      <c r="O43" s="16"/>
    </row>
    <row r="44" spans="1:15" x14ac:dyDescent="0.25">
      <c r="A44" s="36" t="s">
        <v>28</v>
      </c>
      <c r="B44" s="17"/>
      <c r="C44" s="18"/>
      <c r="D44" s="18"/>
      <c r="E44" s="18"/>
      <c r="F44" s="18"/>
      <c r="G44" s="19"/>
      <c r="H44" s="7"/>
      <c r="I44" s="7"/>
      <c r="J44" s="7"/>
      <c r="K44" s="7"/>
      <c r="L44" s="7"/>
      <c r="M44" s="16"/>
      <c r="N44" s="16"/>
      <c r="O44" s="16"/>
    </row>
    <row r="45" spans="1:15" x14ac:dyDescent="0.25">
      <c r="A45" s="36" t="s">
        <v>29</v>
      </c>
      <c r="B45" s="16"/>
      <c r="C45" s="16"/>
      <c r="D45" s="16"/>
      <c r="E45" s="16"/>
      <c r="F45" s="16"/>
      <c r="G45" s="16"/>
      <c r="H45" s="7"/>
      <c r="I45" s="7"/>
      <c r="J45" s="7"/>
      <c r="K45" s="7"/>
      <c r="L45" s="7"/>
      <c r="M45" s="16"/>
      <c r="N45" s="16"/>
      <c r="O45" s="16"/>
    </row>
    <row r="46" spans="1:15" x14ac:dyDescent="0.25">
      <c r="A46" s="36" t="s">
        <v>30</v>
      </c>
      <c r="B46" s="16"/>
      <c r="C46" s="16"/>
      <c r="D46" s="16"/>
      <c r="E46" s="16"/>
      <c r="F46" s="16"/>
      <c r="G46" s="16"/>
      <c r="H46" s="7"/>
      <c r="I46" s="7"/>
      <c r="J46" s="7"/>
      <c r="K46" s="7"/>
      <c r="L46" s="7"/>
      <c r="M46" s="16"/>
      <c r="N46" s="16"/>
      <c r="O46" s="16"/>
    </row>
    <row r="47" spans="1:15" x14ac:dyDescent="0.25">
      <c r="A47" s="36" t="s">
        <v>31</v>
      </c>
      <c r="B47" s="16"/>
      <c r="C47" s="16"/>
      <c r="D47" s="16"/>
      <c r="E47" s="16"/>
      <c r="F47" s="16"/>
      <c r="G47" s="16"/>
      <c r="H47" s="7"/>
      <c r="I47" s="7"/>
      <c r="J47" s="7"/>
      <c r="K47" s="7"/>
      <c r="L47" s="7"/>
      <c r="M47" s="16"/>
      <c r="N47" s="16"/>
      <c r="O47" s="16"/>
    </row>
    <row r="51" spans="1:15" x14ac:dyDescent="0.25">
      <c r="A51" s="22" t="s">
        <v>24</v>
      </c>
      <c r="D51" s="1" t="s">
        <v>90</v>
      </c>
      <c r="E51" s="1"/>
      <c r="F51" s="1"/>
      <c r="G51" s="1"/>
    </row>
    <row r="52" spans="1:15" x14ac:dyDescent="0.25"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</row>
    <row r="53" spans="1:15" ht="15.75" thickBot="1" x14ac:dyDescent="0.3">
      <c r="A53" s="23"/>
      <c r="B53" s="39" t="s">
        <v>25</v>
      </c>
      <c r="C53" s="39"/>
      <c r="D53" s="39"/>
      <c r="E53" s="39"/>
      <c r="F53" s="39"/>
      <c r="G53" s="39"/>
      <c r="H53" s="40" t="s">
        <v>75</v>
      </c>
      <c r="I53" s="40" t="s">
        <v>19</v>
      </c>
      <c r="J53" s="40" t="s">
        <v>20</v>
      </c>
      <c r="K53" s="40" t="s">
        <v>21</v>
      </c>
      <c r="L53" s="40" t="s">
        <v>139</v>
      </c>
      <c r="M53" s="39" t="s">
        <v>105</v>
      </c>
      <c r="N53" s="39"/>
      <c r="O53" s="39"/>
    </row>
    <row r="54" spans="1:15" ht="15.75" thickTop="1" x14ac:dyDescent="0.25">
      <c r="A54" s="37" t="s">
        <v>26</v>
      </c>
      <c r="B54" s="38"/>
      <c r="C54" s="41" t="s">
        <v>88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</row>
    <row r="55" spans="1:15" x14ac:dyDescent="0.25">
      <c r="A55" s="36" t="s">
        <v>27</v>
      </c>
      <c r="B55" s="15" t="s">
        <v>114</v>
      </c>
      <c r="C55" s="15"/>
      <c r="D55" s="15"/>
      <c r="E55" s="15"/>
      <c r="F55" s="15"/>
      <c r="G55" s="15"/>
      <c r="H55" s="7" t="s">
        <v>118</v>
      </c>
      <c r="I55" s="7" t="s">
        <v>104</v>
      </c>
      <c r="J55" s="7" t="s">
        <v>106</v>
      </c>
      <c r="K55" s="7" t="s">
        <v>106</v>
      </c>
      <c r="L55" s="7"/>
      <c r="M55" s="16" t="s">
        <v>116</v>
      </c>
      <c r="N55" s="16"/>
      <c r="O55" s="16"/>
    </row>
    <row r="56" spans="1:15" x14ac:dyDescent="0.25">
      <c r="A56" s="36" t="s">
        <v>28</v>
      </c>
      <c r="B56" s="15"/>
      <c r="C56" s="15"/>
      <c r="D56" s="15"/>
      <c r="E56" s="15"/>
      <c r="F56" s="15"/>
      <c r="G56" s="15"/>
      <c r="H56" s="7"/>
      <c r="I56" s="7"/>
      <c r="J56" s="7"/>
      <c r="K56" s="7"/>
      <c r="L56" s="7"/>
      <c r="M56" s="16"/>
      <c r="N56" s="16"/>
      <c r="O56" s="16"/>
    </row>
    <row r="57" spans="1:15" x14ac:dyDescent="0.25">
      <c r="A57" s="36" t="s">
        <v>29</v>
      </c>
      <c r="B57" s="15"/>
      <c r="C57" s="15"/>
      <c r="D57" s="15"/>
      <c r="E57" s="15"/>
      <c r="F57" s="15"/>
      <c r="G57" s="15"/>
      <c r="H57" s="7"/>
      <c r="I57" s="7"/>
      <c r="J57" s="7"/>
      <c r="K57" s="7"/>
      <c r="L57" s="7"/>
      <c r="M57" s="16"/>
      <c r="N57" s="16"/>
      <c r="O57" s="16"/>
    </row>
    <row r="58" spans="1:15" x14ac:dyDescent="0.25">
      <c r="A58" s="36" t="s">
        <v>30</v>
      </c>
      <c r="B58" s="15"/>
      <c r="C58" s="15"/>
      <c r="D58" s="15"/>
      <c r="E58" s="15"/>
      <c r="F58" s="15"/>
      <c r="G58" s="15"/>
      <c r="H58" s="7"/>
      <c r="I58" s="7"/>
      <c r="J58" s="7"/>
      <c r="K58" s="7"/>
      <c r="L58" s="7"/>
      <c r="M58" s="16"/>
      <c r="N58" s="16"/>
      <c r="O58" s="16"/>
    </row>
    <row r="59" spans="1:15" x14ac:dyDescent="0.25">
      <c r="A59" s="36" t="s">
        <v>31</v>
      </c>
      <c r="B59" s="15"/>
      <c r="C59" s="15"/>
      <c r="D59" s="15"/>
      <c r="E59" s="15"/>
      <c r="F59" s="15"/>
      <c r="G59" s="15"/>
      <c r="H59" s="7"/>
      <c r="I59" s="7"/>
      <c r="J59" s="7"/>
      <c r="K59" s="7"/>
      <c r="L59" s="7"/>
      <c r="M59" s="16"/>
      <c r="N59" s="16"/>
      <c r="O59" s="16"/>
    </row>
    <row r="61" spans="1:15" x14ac:dyDescent="0.25">
      <c r="A61" s="37" t="s">
        <v>26</v>
      </c>
      <c r="B61" s="38"/>
      <c r="C61" s="22" t="s">
        <v>47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</row>
    <row r="62" spans="1:15" x14ac:dyDescent="0.25">
      <c r="A62" s="36" t="s">
        <v>27</v>
      </c>
      <c r="B62" s="15" t="s">
        <v>115</v>
      </c>
      <c r="C62" s="15"/>
      <c r="D62" s="15"/>
      <c r="E62" s="15"/>
      <c r="F62" s="15"/>
      <c r="G62" s="15"/>
      <c r="H62" s="7" t="s">
        <v>101</v>
      </c>
      <c r="I62" s="7" t="s">
        <v>104</v>
      </c>
      <c r="J62" s="7" t="s">
        <v>106</v>
      </c>
      <c r="K62" s="7" t="s">
        <v>106</v>
      </c>
      <c r="L62" s="7"/>
      <c r="M62" s="16" t="s">
        <v>117</v>
      </c>
      <c r="N62" s="16"/>
      <c r="O62" s="16"/>
    </row>
    <row r="63" spans="1:15" x14ac:dyDescent="0.25">
      <c r="A63" s="36" t="s">
        <v>28</v>
      </c>
      <c r="B63" s="15"/>
      <c r="C63" s="15"/>
      <c r="D63" s="15"/>
      <c r="E63" s="15"/>
      <c r="F63" s="15"/>
      <c r="G63" s="15"/>
      <c r="H63" s="7"/>
      <c r="I63" s="7"/>
      <c r="J63" s="7"/>
      <c r="K63" s="7"/>
      <c r="L63" s="7"/>
      <c r="M63" s="16"/>
      <c r="N63" s="16"/>
      <c r="O63" s="16"/>
    </row>
    <row r="64" spans="1:15" x14ac:dyDescent="0.25">
      <c r="A64" s="36" t="s">
        <v>29</v>
      </c>
      <c r="B64" s="15"/>
      <c r="C64" s="15"/>
      <c r="D64" s="15"/>
      <c r="E64" s="15"/>
      <c r="F64" s="15"/>
      <c r="G64" s="15"/>
      <c r="H64" s="7"/>
      <c r="I64" s="7"/>
      <c r="J64" s="7"/>
      <c r="K64" s="7"/>
      <c r="L64" s="7"/>
      <c r="M64" s="16"/>
      <c r="N64" s="16"/>
      <c r="O64" s="16"/>
    </row>
    <row r="65" spans="1:15" x14ac:dyDescent="0.25">
      <c r="A65" s="36" t="s">
        <v>30</v>
      </c>
      <c r="B65" s="15"/>
      <c r="C65" s="15"/>
      <c r="D65" s="15"/>
      <c r="E65" s="15"/>
      <c r="F65" s="15"/>
      <c r="G65" s="15"/>
      <c r="H65" s="7"/>
      <c r="I65" s="7"/>
      <c r="J65" s="7"/>
      <c r="K65" s="7"/>
      <c r="L65" s="7"/>
      <c r="M65" s="16"/>
      <c r="N65" s="16"/>
      <c r="O65" s="16"/>
    </row>
    <row r="66" spans="1:15" x14ac:dyDescent="0.25">
      <c r="A66" s="36" t="s">
        <v>31</v>
      </c>
      <c r="B66" s="15"/>
      <c r="C66" s="15"/>
      <c r="D66" s="15"/>
      <c r="E66" s="15"/>
      <c r="F66" s="15"/>
      <c r="G66" s="15"/>
      <c r="H66" s="7"/>
      <c r="I66" s="7"/>
      <c r="J66" s="7"/>
      <c r="K66" s="7"/>
      <c r="L66" s="7"/>
      <c r="M66" s="16"/>
      <c r="N66" s="16"/>
      <c r="O66" s="16"/>
    </row>
    <row r="68" spans="1:15" x14ac:dyDescent="0.25">
      <c r="A68" s="37" t="s">
        <v>26</v>
      </c>
      <c r="B68" s="38"/>
      <c r="C68" s="22" t="s">
        <v>46</v>
      </c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 spans="1:15" x14ac:dyDescent="0.25">
      <c r="A69" s="36" t="s">
        <v>27</v>
      </c>
      <c r="B69" s="15" t="s">
        <v>110</v>
      </c>
      <c r="C69" s="15"/>
      <c r="D69" s="15"/>
      <c r="E69" s="15"/>
      <c r="F69" s="15"/>
      <c r="G69" s="15"/>
      <c r="H69" s="7" t="s">
        <v>100</v>
      </c>
      <c r="I69" s="7" t="s">
        <v>104</v>
      </c>
      <c r="J69" s="7" t="s">
        <v>106</v>
      </c>
      <c r="K69" s="7" t="s">
        <v>106</v>
      </c>
      <c r="L69" s="13" t="s">
        <v>140</v>
      </c>
      <c r="M69" s="16" t="s">
        <v>138</v>
      </c>
      <c r="N69" s="16"/>
      <c r="O69" s="16"/>
    </row>
    <row r="70" spans="1:15" x14ac:dyDescent="0.25">
      <c r="A70" s="36" t="s">
        <v>28</v>
      </c>
      <c r="B70" s="15"/>
      <c r="C70" s="15"/>
      <c r="D70" s="15"/>
      <c r="E70" s="15"/>
      <c r="F70" s="15"/>
      <c r="G70" s="15"/>
      <c r="H70" s="7"/>
      <c r="I70" s="7"/>
      <c r="J70" s="7"/>
      <c r="K70" s="7"/>
      <c r="L70" s="7"/>
      <c r="M70" s="16"/>
      <c r="N70" s="16"/>
      <c r="O70" s="16"/>
    </row>
    <row r="71" spans="1:15" x14ac:dyDescent="0.25">
      <c r="A71" s="36" t="s">
        <v>29</v>
      </c>
      <c r="B71" s="15"/>
      <c r="C71" s="15"/>
      <c r="D71" s="15"/>
      <c r="E71" s="15"/>
      <c r="F71" s="15"/>
      <c r="G71" s="15"/>
      <c r="H71" s="7"/>
      <c r="I71" s="7"/>
      <c r="J71" s="7"/>
      <c r="K71" s="7"/>
      <c r="L71" s="7"/>
      <c r="M71" s="16"/>
      <c r="N71" s="16"/>
      <c r="O71" s="16"/>
    </row>
    <row r="72" spans="1:15" x14ac:dyDescent="0.25">
      <c r="A72" s="36" t="s">
        <v>30</v>
      </c>
      <c r="B72" s="15"/>
      <c r="C72" s="15"/>
      <c r="D72" s="15"/>
      <c r="E72" s="15"/>
      <c r="F72" s="15"/>
      <c r="G72" s="15"/>
      <c r="H72" s="7"/>
      <c r="I72" s="7"/>
      <c r="J72" s="7"/>
      <c r="K72" s="7"/>
      <c r="L72" s="7"/>
      <c r="M72" s="16"/>
      <c r="N72" s="16"/>
      <c r="O72" s="16"/>
    </row>
    <row r="73" spans="1:15" x14ac:dyDescent="0.25">
      <c r="A73" s="36" t="s">
        <v>31</v>
      </c>
      <c r="B73" s="15"/>
      <c r="C73" s="15"/>
      <c r="D73" s="15"/>
      <c r="E73" s="15"/>
      <c r="F73" s="15"/>
      <c r="G73" s="15"/>
      <c r="H73" s="7"/>
      <c r="I73" s="7"/>
      <c r="J73" s="7"/>
      <c r="K73" s="7"/>
      <c r="L73" s="7"/>
      <c r="M73" s="16"/>
      <c r="N73" s="16"/>
      <c r="O73" s="16"/>
    </row>
    <row r="75" spans="1:15" x14ac:dyDescent="0.25">
      <c r="A75" s="37" t="s">
        <v>26</v>
      </c>
      <c r="B75" s="38"/>
      <c r="C75" s="22" t="s">
        <v>16</v>
      </c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</row>
    <row r="76" spans="1:15" x14ac:dyDescent="0.25">
      <c r="A76" s="36" t="s">
        <v>27</v>
      </c>
      <c r="B76" s="15" t="s">
        <v>119</v>
      </c>
      <c r="C76" s="15"/>
      <c r="D76" s="15"/>
      <c r="E76" s="15"/>
      <c r="F76" s="15"/>
      <c r="G76" s="15"/>
      <c r="H76" s="7" t="s">
        <v>122</v>
      </c>
      <c r="I76" s="7" t="s">
        <v>104</v>
      </c>
      <c r="J76" s="7" t="s">
        <v>106</v>
      </c>
      <c r="K76" s="7" t="s">
        <v>106</v>
      </c>
      <c r="L76" s="7"/>
      <c r="M76" s="16" t="s">
        <v>124</v>
      </c>
      <c r="N76" s="16"/>
      <c r="O76" s="16"/>
    </row>
    <row r="77" spans="1:15" x14ac:dyDescent="0.25">
      <c r="A77" s="36" t="s">
        <v>28</v>
      </c>
      <c r="B77" s="15" t="s">
        <v>120</v>
      </c>
      <c r="C77" s="15"/>
      <c r="D77" s="15"/>
      <c r="E77" s="15"/>
      <c r="F77" s="15"/>
      <c r="G77" s="15"/>
      <c r="H77" s="7" t="s">
        <v>101</v>
      </c>
      <c r="I77" s="7" t="s">
        <v>104</v>
      </c>
      <c r="J77" s="13" t="s">
        <v>123</v>
      </c>
      <c r="K77" s="7" t="s">
        <v>106</v>
      </c>
      <c r="L77" s="7"/>
      <c r="M77" s="16" t="s">
        <v>117</v>
      </c>
      <c r="N77" s="16"/>
      <c r="O77" s="16"/>
    </row>
    <row r="78" spans="1:15" x14ac:dyDescent="0.25">
      <c r="A78" s="36" t="s">
        <v>29</v>
      </c>
      <c r="B78" s="15" t="s">
        <v>121</v>
      </c>
      <c r="C78" s="15"/>
      <c r="D78" s="15"/>
      <c r="E78" s="15"/>
      <c r="F78" s="15"/>
      <c r="G78" s="15"/>
      <c r="H78" s="7" t="s">
        <v>118</v>
      </c>
      <c r="I78" s="7" t="s">
        <v>104</v>
      </c>
      <c r="J78" s="7" t="s">
        <v>106</v>
      </c>
      <c r="K78" s="7" t="s">
        <v>106</v>
      </c>
      <c r="L78" s="7"/>
      <c r="M78" s="16" t="s">
        <v>116</v>
      </c>
      <c r="N78" s="16"/>
      <c r="O78" s="16"/>
    </row>
    <row r="79" spans="1:15" x14ac:dyDescent="0.25">
      <c r="A79" s="36" t="s">
        <v>30</v>
      </c>
      <c r="B79" s="15"/>
      <c r="C79" s="15"/>
      <c r="D79" s="15"/>
      <c r="E79" s="15"/>
      <c r="F79" s="15"/>
      <c r="G79" s="15"/>
      <c r="H79" s="7"/>
      <c r="I79" s="7"/>
      <c r="J79" s="7"/>
      <c r="K79" s="7"/>
      <c r="L79" s="7"/>
      <c r="M79" s="16"/>
      <c r="N79" s="16"/>
      <c r="O79" s="16"/>
    </row>
    <row r="80" spans="1:15" x14ac:dyDescent="0.25">
      <c r="A80" s="36" t="s">
        <v>31</v>
      </c>
      <c r="B80" s="15"/>
      <c r="C80" s="15"/>
      <c r="D80" s="15"/>
      <c r="E80" s="15"/>
      <c r="F80" s="15"/>
      <c r="G80" s="15"/>
      <c r="H80" s="7"/>
      <c r="I80" s="7"/>
      <c r="J80" s="7"/>
      <c r="K80" s="7"/>
      <c r="L80" s="7"/>
      <c r="M80" s="16"/>
      <c r="N80" s="16"/>
      <c r="O80" s="16"/>
    </row>
    <row r="82" spans="1:15" x14ac:dyDescent="0.25">
      <c r="A82" s="37" t="s">
        <v>26</v>
      </c>
      <c r="B82" s="38"/>
      <c r="C82" s="22" t="s">
        <v>49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</row>
    <row r="83" spans="1:15" x14ac:dyDescent="0.25">
      <c r="A83" s="36" t="s">
        <v>27</v>
      </c>
      <c r="B83" s="15" t="s">
        <v>125</v>
      </c>
      <c r="C83" s="15"/>
      <c r="D83" s="15"/>
      <c r="E83" s="15"/>
      <c r="F83" s="15"/>
      <c r="G83" s="15"/>
      <c r="H83" s="7" t="s">
        <v>122</v>
      </c>
      <c r="I83" s="7" t="s">
        <v>104</v>
      </c>
      <c r="J83" s="7" t="s">
        <v>106</v>
      </c>
      <c r="K83" s="7" t="s">
        <v>106</v>
      </c>
      <c r="L83" s="7"/>
      <c r="M83" s="16" t="s">
        <v>124</v>
      </c>
      <c r="N83" s="16"/>
      <c r="O83" s="16"/>
    </row>
    <row r="84" spans="1:15" x14ac:dyDescent="0.25">
      <c r="A84" s="36" t="s">
        <v>28</v>
      </c>
      <c r="B84" s="15"/>
      <c r="C84" s="15"/>
      <c r="D84" s="15"/>
      <c r="E84" s="15"/>
      <c r="F84" s="15"/>
      <c r="G84" s="15"/>
      <c r="H84" s="7"/>
      <c r="I84" s="7"/>
      <c r="J84" s="7"/>
      <c r="K84" s="7"/>
      <c r="L84" s="7"/>
      <c r="M84" s="16"/>
      <c r="N84" s="16"/>
      <c r="O84" s="16"/>
    </row>
    <row r="85" spans="1:15" x14ac:dyDescent="0.25">
      <c r="A85" s="36" t="s">
        <v>29</v>
      </c>
      <c r="B85" s="15"/>
      <c r="C85" s="15"/>
      <c r="D85" s="15"/>
      <c r="E85" s="15"/>
      <c r="F85" s="15"/>
      <c r="G85" s="15"/>
      <c r="H85" s="7"/>
      <c r="I85" s="7"/>
      <c r="J85" s="7"/>
      <c r="K85" s="7"/>
      <c r="L85" s="7"/>
      <c r="M85" s="16"/>
      <c r="N85" s="16"/>
      <c r="O85" s="16"/>
    </row>
    <row r="86" spans="1:15" x14ac:dyDescent="0.25">
      <c r="A86" s="36" t="s">
        <v>30</v>
      </c>
      <c r="B86" s="15"/>
      <c r="C86" s="15"/>
      <c r="D86" s="15"/>
      <c r="E86" s="15"/>
      <c r="F86" s="15"/>
      <c r="G86" s="15"/>
      <c r="H86" s="7"/>
      <c r="I86" s="7"/>
      <c r="J86" s="7"/>
      <c r="K86" s="7"/>
      <c r="L86" s="7"/>
      <c r="M86" s="16"/>
      <c r="N86" s="16"/>
      <c r="O86" s="16"/>
    </row>
    <row r="87" spans="1:15" x14ac:dyDescent="0.25">
      <c r="A87" s="36" t="s">
        <v>31</v>
      </c>
      <c r="B87" s="15"/>
      <c r="C87" s="15"/>
      <c r="D87" s="15"/>
      <c r="E87" s="15"/>
      <c r="F87" s="15"/>
      <c r="G87" s="15"/>
      <c r="H87" s="7"/>
      <c r="I87" s="7"/>
      <c r="J87" s="7"/>
      <c r="K87" s="7"/>
      <c r="L87" s="7"/>
      <c r="M87" s="16"/>
      <c r="N87" s="16"/>
      <c r="O87" s="16"/>
    </row>
    <row r="89" spans="1:15" x14ac:dyDescent="0.25">
      <c r="A89" s="37" t="s">
        <v>26</v>
      </c>
      <c r="B89" s="38"/>
      <c r="C89" s="22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</row>
    <row r="90" spans="1:15" x14ac:dyDescent="0.25">
      <c r="A90" s="36" t="s">
        <v>27</v>
      </c>
      <c r="B90" s="15"/>
      <c r="C90" s="15"/>
      <c r="D90" s="15"/>
      <c r="E90" s="15"/>
      <c r="F90" s="15"/>
      <c r="G90" s="15"/>
      <c r="H90" s="7"/>
      <c r="I90" s="7"/>
      <c r="J90" s="7"/>
      <c r="K90" s="7"/>
      <c r="L90" s="7"/>
      <c r="M90" s="16"/>
      <c r="N90" s="16"/>
      <c r="O90" s="16"/>
    </row>
    <row r="91" spans="1:15" x14ac:dyDescent="0.25">
      <c r="A91" s="36" t="s">
        <v>28</v>
      </c>
      <c r="B91" s="15"/>
      <c r="C91" s="15"/>
      <c r="D91" s="15"/>
      <c r="E91" s="15"/>
      <c r="F91" s="15"/>
      <c r="G91" s="15"/>
      <c r="H91" s="7"/>
      <c r="I91" s="7"/>
      <c r="J91" s="7"/>
      <c r="K91" s="7"/>
      <c r="L91" s="7"/>
      <c r="M91" s="16"/>
      <c r="N91" s="16"/>
      <c r="O91" s="16"/>
    </row>
    <row r="92" spans="1:15" x14ac:dyDescent="0.25">
      <c r="A92" s="36" t="s">
        <v>29</v>
      </c>
      <c r="B92" s="15"/>
      <c r="C92" s="15"/>
      <c r="D92" s="15"/>
      <c r="E92" s="15"/>
      <c r="F92" s="15"/>
      <c r="G92" s="15"/>
      <c r="H92" s="7"/>
      <c r="I92" s="7"/>
      <c r="J92" s="7"/>
      <c r="K92" s="7"/>
      <c r="L92" s="7"/>
      <c r="M92" s="16"/>
      <c r="N92" s="16"/>
      <c r="O92" s="16"/>
    </row>
    <row r="93" spans="1:15" x14ac:dyDescent="0.25">
      <c r="A93" s="36" t="s">
        <v>30</v>
      </c>
      <c r="B93" s="15"/>
      <c r="C93" s="15"/>
      <c r="D93" s="15"/>
      <c r="E93" s="15"/>
      <c r="F93" s="15"/>
      <c r="G93" s="15"/>
      <c r="H93" s="7"/>
      <c r="I93" s="7"/>
      <c r="J93" s="7"/>
      <c r="K93" s="7"/>
      <c r="L93" s="7"/>
      <c r="M93" s="16"/>
      <c r="N93" s="16"/>
      <c r="O93" s="16"/>
    </row>
    <row r="94" spans="1:15" x14ac:dyDescent="0.25">
      <c r="A94" s="36" t="s">
        <v>31</v>
      </c>
      <c r="B94" s="15"/>
      <c r="C94" s="15"/>
      <c r="D94" s="15"/>
      <c r="E94" s="15"/>
      <c r="F94" s="15"/>
      <c r="G94" s="15"/>
      <c r="H94" s="7"/>
      <c r="I94" s="7"/>
      <c r="J94" s="7"/>
      <c r="K94" s="7"/>
      <c r="L94" s="7"/>
      <c r="M94" s="16"/>
      <c r="N94" s="16"/>
      <c r="O94" s="16"/>
    </row>
  </sheetData>
  <mergeCells count="128">
    <mergeCell ref="S1:T1"/>
    <mergeCell ref="B9:G9"/>
    <mergeCell ref="B8:G8"/>
    <mergeCell ref="M12:O12"/>
    <mergeCell ref="M11:O11"/>
    <mergeCell ref="M10:O10"/>
    <mergeCell ref="M9:O9"/>
    <mergeCell ref="M8:O8"/>
    <mergeCell ref="A1:C1"/>
    <mergeCell ref="D1:K1"/>
    <mergeCell ref="M1:O1"/>
    <mergeCell ref="M6:O6"/>
    <mergeCell ref="B6:G6"/>
    <mergeCell ref="B15:G15"/>
    <mergeCell ref="M15:O15"/>
    <mergeCell ref="B16:G16"/>
    <mergeCell ref="M16:O16"/>
    <mergeCell ref="B17:G17"/>
    <mergeCell ref="M17:O17"/>
    <mergeCell ref="B12:G12"/>
    <mergeCell ref="B11:G11"/>
    <mergeCell ref="B10:G10"/>
    <mergeCell ref="B23:G23"/>
    <mergeCell ref="M23:O23"/>
    <mergeCell ref="B24:G24"/>
    <mergeCell ref="M24:O24"/>
    <mergeCell ref="B25:G25"/>
    <mergeCell ref="M25:O25"/>
    <mergeCell ref="B18:G18"/>
    <mergeCell ref="M18:O18"/>
    <mergeCell ref="B19:G19"/>
    <mergeCell ref="M19:O19"/>
    <mergeCell ref="B22:G22"/>
    <mergeCell ref="M22:O22"/>
    <mergeCell ref="B31:G31"/>
    <mergeCell ref="M31:O31"/>
    <mergeCell ref="B32:G32"/>
    <mergeCell ref="M32:O32"/>
    <mergeCell ref="B33:G33"/>
    <mergeCell ref="M33:O33"/>
    <mergeCell ref="B26:G26"/>
    <mergeCell ref="M26:O26"/>
    <mergeCell ref="B29:G29"/>
    <mergeCell ref="M29:O29"/>
    <mergeCell ref="B30:G30"/>
    <mergeCell ref="M30:O30"/>
    <mergeCell ref="B39:G39"/>
    <mergeCell ref="M39:O39"/>
    <mergeCell ref="B40:G40"/>
    <mergeCell ref="M40:O40"/>
    <mergeCell ref="B53:G53"/>
    <mergeCell ref="M53:O53"/>
    <mergeCell ref="B36:G36"/>
    <mergeCell ref="M36:O36"/>
    <mergeCell ref="B37:G37"/>
    <mergeCell ref="M37:O37"/>
    <mergeCell ref="B38:G38"/>
    <mergeCell ref="M38:O38"/>
    <mergeCell ref="B43:G43"/>
    <mergeCell ref="M43:O43"/>
    <mergeCell ref="B44:G44"/>
    <mergeCell ref="M44:O44"/>
    <mergeCell ref="B45:G45"/>
    <mergeCell ref="M45:O45"/>
    <mergeCell ref="B46:G46"/>
    <mergeCell ref="M46:O46"/>
    <mergeCell ref="B47:G47"/>
    <mergeCell ref="M47:O47"/>
    <mergeCell ref="B58:G58"/>
    <mergeCell ref="M58:O58"/>
    <mergeCell ref="B59:G59"/>
    <mergeCell ref="M59:O59"/>
    <mergeCell ref="B62:G62"/>
    <mergeCell ref="M62:O62"/>
    <mergeCell ref="B55:G55"/>
    <mergeCell ref="M55:O55"/>
    <mergeCell ref="B56:G56"/>
    <mergeCell ref="M56:O56"/>
    <mergeCell ref="B57:G57"/>
    <mergeCell ref="M57:O57"/>
    <mergeCell ref="B66:G66"/>
    <mergeCell ref="M66:O66"/>
    <mergeCell ref="B69:G69"/>
    <mergeCell ref="M69:O69"/>
    <mergeCell ref="B70:G70"/>
    <mergeCell ref="M70:O70"/>
    <mergeCell ref="B63:G63"/>
    <mergeCell ref="M63:O63"/>
    <mergeCell ref="B64:G64"/>
    <mergeCell ref="M64:O64"/>
    <mergeCell ref="B65:G65"/>
    <mergeCell ref="M65:O65"/>
    <mergeCell ref="B76:G76"/>
    <mergeCell ref="M76:O76"/>
    <mergeCell ref="B77:G77"/>
    <mergeCell ref="M77:O77"/>
    <mergeCell ref="B78:G78"/>
    <mergeCell ref="M78:O78"/>
    <mergeCell ref="B71:G71"/>
    <mergeCell ref="M71:O71"/>
    <mergeCell ref="B72:G72"/>
    <mergeCell ref="M72:O72"/>
    <mergeCell ref="B73:G73"/>
    <mergeCell ref="M73:O73"/>
    <mergeCell ref="B87:G87"/>
    <mergeCell ref="M87:O87"/>
    <mergeCell ref="B84:G84"/>
    <mergeCell ref="M84:O84"/>
    <mergeCell ref="B85:G85"/>
    <mergeCell ref="M85:O85"/>
    <mergeCell ref="B86:G86"/>
    <mergeCell ref="M86:O86"/>
    <mergeCell ref="B79:G79"/>
    <mergeCell ref="M79:O79"/>
    <mergeCell ref="B80:G80"/>
    <mergeCell ref="M80:O80"/>
    <mergeCell ref="B83:G83"/>
    <mergeCell ref="M83:O83"/>
    <mergeCell ref="B90:G90"/>
    <mergeCell ref="M90:O90"/>
    <mergeCell ref="B91:G91"/>
    <mergeCell ref="M91:O91"/>
    <mergeCell ref="B92:G92"/>
    <mergeCell ref="M92:O92"/>
    <mergeCell ref="B93:G93"/>
    <mergeCell ref="M93:O93"/>
    <mergeCell ref="B94:G94"/>
    <mergeCell ref="M94:O94"/>
  </mergeCells>
  <pageMargins left="0.7" right="0.7" top="0.75" bottom="0.75" header="0.3" footer="0.3"/>
  <pageSetup paperSize="9" scale="4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45A6-B0F5-4949-9627-8C04A036745E}">
  <sheetPr>
    <pageSetUpPr fitToPage="1"/>
  </sheetPr>
  <dimension ref="A1:S95"/>
  <sheetViews>
    <sheetView tabSelected="1" workbookViewId="0">
      <selection activeCell="V7" sqref="V7"/>
    </sheetView>
  </sheetViews>
  <sheetFormatPr defaultRowHeight="15" x14ac:dyDescent="0.25"/>
  <cols>
    <col min="1" max="3" width="9.140625" style="21"/>
    <col min="4" max="4" width="6" style="21" bestFit="1" customWidth="1"/>
    <col min="5" max="7" width="9.140625" style="21"/>
    <col min="8" max="8" width="16.85546875" style="21" customWidth="1"/>
    <col min="9" max="11" width="9.140625" style="21"/>
    <col min="12" max="12" width="11.5703125" style="21" customWidth="1"/>
    <col min="13" max="16384" width="9.140625" style="21"/>
  </cols>
  <sheetData>
    <row r="1" spans="1:19" ht="76.5" customHeight="1" thickBot="1" x14ac:dyDescent="0.3">
      <c r="A1" s="26"/>
      <c r="B1" s="27"/>
      <c r="C1" s="28"/>
      <c r="D1" s="29" t="s">
        <v>42</v>
      </c>
      <c r="E1" s="30"/>
      <c r="F1" s="30"/>
      <c r="G1" s="30"/>
      <c r="H1" s="30"/>
      <c r="I1" s="30"/>
      <c r="J1" s="30"/>
      <c r="K1" s="30"/>
      <c r="L1" s="43"/>
      <c r="M1" s="32" t="s">
        <v>56</v>
      </c>
      <c r="N1" s="33"/>
      <c r="O1" s="34"/>
      <c r="Q1" s="22" t="s">
        <v>43</v>
      </c>
      <c r="R1" s="35"/>
      <c r="S1" s="35"/>
    </row>
    <row r="4" spans="1:19" x14ac:dyDescent="0.25">
      <c r="A4" s="22" t="s">
        <v>24</v>
      </c>
      <c r="D4" s="1" t="s">
        <v>89</v>
      </c>
      <c r="E4" s="1"/>
      <c r="F4" s="1"/>
      <c r="G4" s="1"/>
    </row>
    <row r="5" spans="1:19" x14ac:dyDescent="0.25"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</row>
    <row r="6" spans="1:19" ht="15.75" thickBot="1" x14ac:dyDescent="0.3">
      <c r="A6" s="23"/>
      <c r="B6" s="39" t="s">
        <v>25</v>
      </c>
      <c r="C6" s="39"/>
      <c r="D6" s="39"/>
      <c r="E6" s="39"/>
      <c r="F6" s="39"/>
      <c r="G6" s="39"/>
      <c r="H6" s="40" t="s">
        <v>75</v>
      </c>
      <c r="I6" s="40" t="s">
        <v>19</v>
      </c>
      <c r="J6" s="40" t="s">
        <v>20</v>
      </c>
      <c r="K6" s="40" t="s">
        <v>21</v>
      </c>
      <c r="L6" s="40" t="s">
        <v>139</v>
      </c>
      <c r="M6" s="39" t="s">
        <v>105</v>
      </c>
      <c r="N6" s="39"/>
      <c r="O6" s="39"/>
    </row>
    <row r="7" spans="1:19" ht="15.75" thickTop="1" x14ac:dyDescent="0.25">
      <c r="A7" s="37" t="s">
        <v>26</v>
      </c>
      <c r="B7" s="38"/>
      <c r="C7" s="41" t="s">
        <v>88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</row>
    <row r="8" spans="1:19" x14ac:dyDescent="0.25">
      <c r="A8" s="36" t="s">
        <v>27</v>
      </c>
      <c r="B8" s="15" t="s">
        <v>126</v>
      </c>
      <c r="C8" s="15"/>
      <c r="D8" s="15"/>
      <c r="E8" s="15"/>
      <c r="F8" s="15"/>
      <c r="G8" s="15"/>
      <c r="H8" s="7" t="s">
        <v>108</v>
      </c>
      <c r="I8" s="7" t="s">
        <v>104</v>
      </c>
      <c r="J8" s="7" t="s">
        <v>106</v>
      </c>
      <c r="K8" s="7" t="s">
        <v>104</v>
      </c>
      <c r="L8" s="7"/>
      <c r="M8" s="16" t="s">
        <v>128</v>
      </c>
      <c r="N8" s="16"/>
      <c r="O8" s="16"/>
    </row>
    <row r="9" spans="1:19" x14ac:dyDescent="0.25">
      <c r="A9" s="36" t="s">
        <v>28</v>
      </c>
      <c r="B9" s="15" t="s">
        <v>127</v>
      </c>
      <c r="C9" s="15"/>
      <c r="D9" s="15"/>
      <c r="E9" s="15"/>
      <c r="F9" s="15"/>
      <c r="G9" s="15"/>
      <c r="H9" s="7" t="s">
        <v>108</v>
      </c>
      <c r="I9" s="7" t="s">
        <v>104</v>
      </c>
      <c r="J9" s="7" t="s">
        <v>106</v>
      </c>
      <c r="K9" s="7" t="s">
        <v>104</v>
      </c>
      <c r="L9" s="7"/>
      <c r="M9" s="16" t="s">
        <v>128</v>
      </c>
      <c r="N9" s="16"/>
      <c r="O9" s="16"/>
    </row>
    <row r="10" spans="1:19" x14ac:dyDescent="0.25">
      <c r="A10" s="36" t="s">
        <v>29</v>
      </c>
      <c r="B10" s="15"/>
      <c r="C10" s="15"/>
      <c r="D10" s="15"/>
      <c r="E10" s="15"/>
      <c r="F10" s="15"/>
      <c r="G10" s="15"/>
      <c r="H10" s="7"/>
      <c r="I10" s="7"/>
      <c r="J10" s="7"/>
      <c r="K10" s="7"/>
      <c r="L10" s="7"/>
      <c r="M10" s="16"/>
      <c r="N10" s="16"/>
      <c r="O10" s="16"/>
    </row>
    <row r="11" spans="1:19" x14ac:dyDescent="0.25">
      <c r="A11" s="36" t="s">
        <v>30</v>
      </c>
      <c r="B11" s="15"/>
      <c r="C11" s="15"/>
      <c r="D11" s="15"/>
      <c r="E11" s="15"/>
      <c r="F11" s="15"/>
      <c r="G11" s="15"/>
      <c r="H11" s="7"/>
      <c r="I11" s="7"/>
      <c r="J11" s="7"/>
      <c r="K11" s="7"/>
      <c r="L11" s="7"/>
      <c r="M11" s="16"/>
      <c r="N11" s="16"/>
      <c r="O11" s="16"/>
    </row>
    <row r="12" spans="1:19" x14ac:dyDescent="0.25">
      <c r="A12" s="36" t="s">
        <v>31</v>
      </c>
      <c r="B12" s="15"/>
      <c r="C12" s="15"/>
      <c r="D12" s="15"/>
      <c r="E12" s="15"/>
      <c r="F12" s="15"/>
      <c r="G12" s="15"/>
      <c r="H12" s="7"/>
      <c r="I12" s="7"/>
      <c r="J12" s="7"/>
      <c r="K12" s="7"/>
      <c r="L12" s="7"/>
      <c r="M12" s="16"/>
      <c r="N12" s="16"/>
      <c r="O12" s="16"/>
    </row>
    <row r="14" spans="1:19" x14ac:dyDescent="0.25">
      <c r="A14" s="37" t="s">
        <v>26</v>
      </c>
      <c r="B14" s="38"/>
      <c r="C14" s="22" t="s">
        <v>47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</row>
    <row r="15" spans="1:19" x14ac:dyDescent="0.25">
      <c r="A15" s="36" t="s">
        <v>27</v>
      </c>
      <c r="B15" s="15" t="s">
        <v>98</v>
      </c>
      <c r="C15" s="15"/>
      <c r="D15" s="15"/>
      <c r="E15" s="15"/>
      <c r="F15" s="15"/>
      <c r="G15" s="15"/>
      <c r="H15" s="7" t="s">
        <v>100</v>
      </c>
      <c r="I15" s="7" t="s">
        <v>104</v>
      </c>
      <c r="J15" s="7" t="s">
        <v>106</v>
      </c>
      <c r="K15" s="7"/>
      <c r="L15" s="7"/>
      <c r="M15" s="16" t="s">
        <v>112</v>
      </c>
      <c r="N15" s="16"/>
      <c r="O15" s="16"/>
    </row>
    <row r="16" spans="1:19" x14ac:dyDescent="0.25">
      <c r="A16" s="36" t="s">
        <v>28</v>
      </c>
      <c r="B16" s="15" t="s">
        <v>99</v>
      </c>
      <c r="C16" s="15"/>
      <c r="D16" s="15"/>
      <c r="E16" s="15"/>
      <c r="F16" s="15"/>
      <c r="G16" s="15"/>
      <c r="H16" s="7" t="s">
        <v>101</v>
      </c>
      <c r="I16" s="7" t="s">
        <v>106</v>
      </c>
      <c r="J16" s="7" t="s">
        <v>106</v>
      </c>
      <c r="K16" s="7"/>
      <c r="L16" s="7"/>
      <c r="M16" s="16" t="s">
        <v>137</v>
      </c>
      <c r="N16" s="16"/>
      <c r="O16" s="16"/>
    </row>
    <row r="17" spans="1:15" x14ac:dyDescent="0.25">
      <c r="A17" s="36" t="s">
        <v>29</v>
      </c>
      <c r="B17" s="15"/>
      <c r="C17" s="15"/>
      <c r="D17" s="15"/>
      <c r="E17" s="15"/>
      <c r="F17" s="15"/>
      <c r="G17" s="15"/>
      <c r="H17" s="7"/>
      <c r="I17" s="7"/>
      <c r="J17" s="7"/>
      <c r="K17" s="7"/>
      <c r="L17" s="7"/>
      <c r="M17" s="16"/>
      <c r="N17" s="16"/>
      <c r="O17" s="16"/>
    </row>
    <row r="18" spans="1:15" x14ac:dyDescent="0.25">
      <c r="A18" s="36" t="s">
        <v>30</v>
      </c>
      <c r="B18" s="15"/>
      <c r="C18" s="15"/>
      <c r="D18" s="15"/>
      <c r="E18" s="15"/>
      <c r="F18" s="15"/>
      <c r="G18" s="15"/>
      <c r="H18" s="7"/>
      <c r="I18" s="7"/>
      <c r="J18" s="7"/>
      <c r="K18" s="7"/>
      <c r="L18" s="7"/>
      <c r="M18" s="16"/>
      <c r="N18" s="16"/>
      <c r="O18" s="16"/>
    </row>
    <row r="19" spans="1:15" x14ac:dyDescent="0.25">
      <c r="A19" s="36" t="s">
        <v>31</v>
      </c>
      <c r="B19" s="15"/>
      <c r="C19" s="15"/>
      <c r="D19" s="15"/>
      <c r="E19" s="15"/>
      <c r="F19" s="15"/>
      <c r="G19" s="15"/>
      <c r="H19" s="7"/>
      <c r="I19" s="7"/>
      <c r="J19" s="7"/>
      <c r="K19" s="7"/>
      <c r="L19" s="7"/>
      <c r="M19" s="16"/>
      <c r="N19" s="16"/>
      <c r="O19" s="16"/>
    </row>
    <row r="21" spans="1:15" x14ac:dyDescent="0.25">
      <c r="A21" s="37" t="s">
        <v>26</v>
      </c>
      <c r="B21" s="38"/>
      <c r="C21" s="22" t="s">
        <v>49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</row>
    <row r="22" spans="1:15" x14ac:dyDescent="0.25">
      <c r="A22" s="36" t="s">
        <v>27</v>
      </c>
      <c r="B22" s="15" t="s">
        <v>102</v>
      </c>
      <c r="C22" s="15"/>
      <c r="D22" s="15"/>
      <c r="E22" s="15"/>
      <c r="F22" s="15"/>
      <c r="G22" s="15"/>
      <c r="H22" s="7" t="s">
        <v>100</v>
      </c>
      <c r="I22" s="7" t="s">
        <v>104</v>
      </c>
      <c r="J22" s="7" t="s">
        <v>106</v>
      </c>
      <c r="K22" s="7"/>
      <c r="L22" s="7"/>
      <c r="M22" s="16" t="s">
        <v>112</v>
      </c>
      <c r="N22" s="16"/>
      <c r="O22" s="16"/>
    </row>
    <row r="23" spans="1:15" x14ac:dyDescent="0.25">
      <c r="A23" s="36" t="s">
        <v>28</v>
      </c>
      <c r="B23" s="15" t="s">
        <v>103</v>
      </c>
      <c r="C23" s="15"/>
      <c r="D23" s="15"/>
      <c r="E23" s="15"/>
      <c r="F23" s="15"/>
      <c r="G23" s="15"/>
      <c r="H23" s="7" t="s">
        <v>101</v>
      </c>
      <c r="I23" s="7" t="s">
        <v>106</v>
      </c>
      <c r="J23" s="7" t="s">
        <v>106</v>
      </c>
      <c r="K23" s="7"/>
      <c r="L23" s="7"/>
      <c r="M23" s="16" t="s">
        <v>137</v>
      </c>
      <c r="N23" s="16"/>
      <c r="O23" s="16"/>
    </row>
    <row r="24" spans="1:15" x14ac:dyDescent="0.25">
      <c r="A24" s="36" t="s">
        <v>29</v>
      </c>
      <c r="B24" s="15"/>
      <c r="C24" s="15"/>
      <c r="D24" s="15"/>
      <c r="E24" s="15"/>
      <c r="F24" s="15"/>
      <c r="G24" s="15"/>
      <c r="H24" s="7"/>
      <c r="I24" s="7"/>
      <c r="J24" s="7"/>
      <c r="K24" s="7"/>
      <c r="L24" s="7"/>
      <c r="M24" s="16"/>
      <c r="N24" s="16"/>
      <c r="O24" s="16"/>
    </row>
    <row r="25" spans="1:15" x14ac:dyDescent="0.25">
      <c r="A25" s="36" t="s">
        <v>30</v>
      </c>
      <c r="B25" s="15"/>
      <c r="C25" s="15"/>
      <c r="D25" s="15"/>
      <c r="E25" s="15"/>
      <c r="F25" s="15"/>
      <c r="G25" s="15"/>
      <c r="H25" s="7"/>
      <c r="I25" s="7"/>
      <c r="J25" s="7"/>
      <c r="K25" s="7"/>
      <c r="L25" s="7"/>
      <c r="M25" s="16"/>
      <c r="N25" s="16"/>
      <c r="O25" s="16"/>
    </row>
    <row r="26" spans="1:15" x14ac:dyDescent="0.25">
      <c r="A26" s="36" t="s">
        <v>31</v>
      </c>
      <c r="B26" s="15"/>
      <c r="C26" s="15"/>
      <c r="D26" s="15"/>
      <c r="E26" s="15"/>
      <c r="F26" s="15"/>
      <c r="G26" s="15"/>
      <c r="H26" s="7"/>
      <c r="I26" s="7"/>
      <c r="J26" s="7"/>
      <c r="K26" s="7"/>
      <c r="L26" s="7"/>
      <c r="M26" s="16"/>
      <c r="N26" s="16"/>
      <c r="O26" s="16"/>
    </row>
    <row r="27" spans="1:15" x14ac:dyDescent="0.25">
      <c r="B27" s="25"/>
      <c r="C27" s="25"/>
      <c r="D27" s="25"/>
      <c r="E27" s="25"/>
      <c r="F27" s="25"/>
      <c r="G27" s="25"/>
    </row>
    <row r="28" spans="1:15" x14ac:dyDescent="0.25">
      <c r="A28" s="37" t="s">
        <v>26</v>
      </c>
      <c r="B28" s="38"/>
      <c r="C28" s="22" t="s">
        <v>16</v>
      </c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</row>
    <row r="29" spans="1:15" x14ac:dyDescent="0.25">
      <c r="A29" s="36" t="s">
        <v>27</v>
      </c>
      <c r="B29" s="15" t="s">
        <v>107</v>
      </c>
      <c r="C29" s="15"/>
      <c r="D29" s="15"/>
      <c r="E29" s="15"/>
      <c r="F29" s="15"/>
      <c r="G29" s="15"/>
      <c r="H29" s="7" t="s">
        <v>100</v>
      </c>
      <c r="I29" s="7" t="s">
        <v>104</v>
      </c>
      <c r="J29" s="7" t="s">
        <v>106</v>
      </c>
      <c r="K29" s="7" t="s">
        <v>106</v>
      </c>
      <c r="L29" s="7"/>
      <c r="M29" s="16" t="s">
        <v>112</v>
      </c>
      <c r="N29" s="16"/>
      <c r="O29" s="16"/>
    </row>
    <row r="30" spans="1:15" x14ac:dyDescent="0.25">
      <c r="A30" s="36" t="s">
        <v>28</v>
      </c>
      <c r="B30" s="15" t="s">
        <v>109</v>
      </c>
      <c r="C30" s="15"/>
      <c r="D30" s="15"/>
      <c r="E30" s="15"/>
      <c r="F30" s="15"/>
      <c r="G30" s="15"/>
      <c r="H30" s="7" t="s">
        <v>108</v>
      </c>
      <c r="I30" s="7" t="s">
        <v>104</v>
      </c>
      <c r="J30" s="7" t="s">
        <v>106</v>
      </c>
      <c r="K30" s="7" t="s">
        <v>104</v>
      </c>
      <c r="L30" s="7"/>
      <c r="M30" s="16" t="s">
        <v>113</v>
      </c>
      <c r="N30" s="16"/>
      <c r="O30" s="16"/>
    </row>
    <row r="31" spans="1:15" x14ac:dyDescent="0.25">
      <c r="A31" s="36" t="s">
        <v>29</v>
      </c>
      <c r="B31" s="15"/>
      <c r="C31" s="15"/>
      <c r="D31" s="15"/>
      <c r="E31" s="15"/>
      <c r="F31" s="15"/>
      <c r="G31" s="15"/>
      <c r="H31" s="7"/>
      <c r="I31" s="7"/>
      <c r="J31" s="7"/>
      <c r="K31" s="7"/>
      <c r="L31" s="7"/>
      <c r="M31" s="16"/>
      <c r="N31" s="16"/>
      <c r="O31" s="16"/>
    </row>
    <row r="32" spans="1:15" x14ac:dyDescent="0.25">
      <c r="A32" s="36" t="s">
        <v>30</v>
      </c>
      <c r="B32" s="15"/>
      <c r="C32" s="15"/>
      <c r="D32" s="15"/>
      <c r="E32" s="15"/>
      <c r="F32" s="15"/>
      <c r="G32" s="15"/>
      <c r="H32" s="7"/>
      <c r="I32" s="7"/>
      <c r="J32" s="7"/>
      <c r="K32" s="7"/>
      <c r="L32" s="7"/>
      <c r="M32" s="16"/>
      <c r="N32" s="16"/>
      <c r="O32" s="16"/>
    </row>
    <row r="33" spans="1:15" x14ac:dyDescent="0.25">
      <c r="A33" s="36" t="s">
        <v>31</v>
      </c>
      <c r="B33" s="15"/>
      <c r="C33" s="15"/>
      <c r="D33" s="15"/>
      <c r="E33" s="15"/>
      <c r="F33" s="15"/>
      <c r="G33" s="15"/>
      <c r="H33" s="7"/>
      <c r="I33" s="7"/>
      <c r="J33" s="7"/>
      <c r="K33" s="7"/>
      <c r="L33" s="7"/>
      <c r="M33" s="16"/>
      <c r="N33" s="16"/>
      <c r="O33" s="16"/>
    </row>
    <row r="35" spans="1:15" x14ac:dyDescent="0.25">
      <c r="A35" s="37" t="s">
        <v>26</v>
      </c>
      <c r="B35" s="38"/>
      <c r="C35" s="22" t="s">
        <v>46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</row>
    <row r="36" spans="1:15" x14ac:dyDescent="0.25">
      <c r="A36" s="36" t="s">
        <v>27</v>
      </c>
      <c r="B36" s="15" t="s">
        <v>110</v>
      </c>
      <c r="C36" s="15"/>
      <c r="D36" s="15"/>
      <c r="E36" s="15"/>
      <c r="F36" s="15"/>
      <c r="G36" s="15"/>
      <c r="H36" s="7" t="s">
        <v>100</v>
      </c>
      <c r="I36" s="7" t="s">
        <v>104</v>
      </c>
      <c r="J36" s="7" t="s">
        <v>106</v>
      </c>
      <c r="K36" s="7" t="s">
        <v>106</v>
      </c>
      <c r="L36" s="13" t="s">
        <v>140</v>
      </c>
      <c r="M36" s="16" t="s">
        <v>95</v>
      </c>
      <c r="N36" s="16"/>
      <c r="O36" s="16"/>
    </row>
    <row r="37" spans="1:15" x14ac:dyDescent="0.25">
      <c r="A37" s="36" t="s">
        <v>28</v>
      </c>
      <c r="B37" s="15" t="s">
        <v>111</v>
      </c>
      <c r="C37" s="15"/>
      <c r="D37" s="15"/>
      <c r="E37" s="15"/>
      <c r="F37" s="15"/>
      <c r="G37" s="15"/>
      <c r="H37" s="7" t="s">
        <v>100</v>
      </c>
      <c r="I37" s="7" t="s">
        <v>104</v>
      </c>
      <c r="J37" s="7" t="s">
        <v>106</v>
      </c>
      <c r="K37" s="7" t="s">
        <v>106</v>
      </c>
      <c r="L37" s="13" t="s">
        <v>141</v>
      </c>
      <c r="M37" s="16" t="s">
        <v>96</v>
      </c>
      <c r="N37" s="16"/>
      <c r="O37" s="16"/>
    </row>
    <row r="38" spans="1:15" x14ac:dyDescent="0.25">
      <c r="A38" s="36" t="s">
        <v>29</v>
      </c>
      <c r="B38" s="15"/>
      <c r="C38" s="15"/>
      <c r="D38" s="15"/>
      <c r="E38" s="15"/>
      <c r="F38" s="15"/>
      <c r="G38" s="15"/>
      <c r="H38" s="7"/>
      <c r="I38" s="7"/>
      <c r="J38" s="7"/>
      <c r="K38" s="7"/>
      <c r="L38" s="7"/>
      <c r="M38" s="16"/>
      <c r="N38" s="16"/>
      <c r="O38" s="16"/>
    </row>
    <row r="39" spans="1:15" x14ac:dyDescent="0.25">
      <c r="A39" s="36" t="s">
        <v>30</v>
      </c>
      <c r="B39" s="15"/>
      <c r="C39" s="15"/>
      <c r="D39" s="15"/>
      <c r="E39" s="15"/>
      <c r="F39" s="15"/>
      <c r="G39" s="15"/>
      <c r="H39" s="7"/>
      <c r="I39" s="7"/>
      <c r="J39" s="7"/>
      <c r="K39" s="7"/>
      <c r="L39" s="7"/>
      <c r="M39" s="16"/>
      <c r="N39" s="16"/>
      <c r="O39" s="16"/>
    </row>
    <row r="40" spans="1:15" x14ac:dyDescent="0.25">
      <c r="A40" s="36" t="s">
        <v>31</v>
      </c>
      <c r="B40" s="15"/>
      <c r="C40" s="15"/>
      <c r="D40" s="15"/>
      <c r="E40" s="15"/>
      <c r="F40" s="15"/>
      <c r="G40" s="15"/>
      <c r="H40" s="7"/>
      <c r="I40" s="7"/>
      <c r="J40" s="7"/>
      <c r="K40" s="7"/>
      <c r="L40" s="7"/>
      <c r="M40" s="16"/>
      <c r="N40" s="16"/>
      <c r="O40" s="16"/>
    </row>
    <row r="41" spans="1:15" x14ac:dyDescent="0.25">
      <c r="B41" s="42"/>
      <c r="C41" s="42"/>
      <c r="D41" s="42"/>
      <c r="E41" s="42"/>
      <c r="F41" s="42"/>
      <c r="G41" s="42"/>
      <c r="H41" s="42"/>
      <c r="M41" s="42"/>
      <c r="N41" s="42"/>
      <c r="O41" s="42"/>
    </row>
    <row r="42" spans="1:15" x14ac:dyDescent="0.25">
      <c r="A42" s="37" t="s">
        <v>26</v>
      </c>
      <c r="B42" s="38"/>
      <c r="C42" s="22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</row>
    <row r="43" spans="1:15" x14ac:dyDescent="0.25">
      <c r="A43" s="36" t="s">
        <v>27</v>
      </c>
      <c r="B43" s="17"/>
      <c r="C43" s="18"/>
      <c r="D43" s="18"/>
      <c r="E43" s="18"/>
      <c r="F43" s="18"/>
      <c r="G43" s="19"/>
      <c r="H43" s="7"/>
      <c r="I43" s="7"/>
      <c r="J43" s="7"/>
      <c r="K43" s="7"/>
      <c r="L43" s="7"/>
      <c r="M43" s="16"/>
      <c r="N43" s="16"/>
      <c r="O43" s="16"/>
    </row>
    <row r="44" spans="1:15" x14ac:dyDescent="0.25">
      <c r="A44" s="36" t="s">
        <v>28</v>
      </c>
      <c r="B44" s="17"/>
      <c r="C44" s="18"/>
      <c r="D44" s="18"/>
      <c r="E44" s="18"/>
      <c r="F44" s="18"/>
      <c r="G44" s="19"/>
      <c r="H44" s="7"/>
      <c r="I44" s="7"/>
      <c r="J44" s="7"/>
      <c r="K44" s="7"/>
      <c r="L44" s="7"/>
      <c r="M44" s="16"/>
      <c r="N44" s="16"/>
      <c r="O44" s="16"/>
    </row>
    <row r="45" spans="1:15" x14ac:dyDescent="0.25">
      <c r="A45" s="36" t="s">
        <v>29</v>
      </c>
      <c r="B45" s="16"/>
      <c r="C45" s="16"/>
      <c r="D45" s="16"/>
      <c r="E45" s="16"/>
      <c r="F45" s="16"/>
      <c r="G45" s="16"/>
      <c r="H45" s="7"/>
      <c r="I45" s="7"/>
      <c r="J45" s="7"/>
      <c r="K45" s="7"/>
      <c r="L45" s="7"/>
      <c r="M45" s="16"/>
      <c r="N45" s="16"/>
      <c r="O45" s="16"/>
    </row>
    <row r="46" spans="1:15" x14ac:dyDescent="0.25">
      <c r="A46" s="36" t="s">
        <v>30</v>
      </c>
      <c r="B46" s="16"/>
      <c r="C46" s="16"/>
      <c r="D46" s="16"/>
      <c r="E46" s="16"/>
      <c r="F46" s="16"/>
      <c r="G46" s="16"/>
      <c r="H46" s="7"/>
      <c r="I46" s="7"/>
      <c r="J46" s="7"/>
      <c r="K46" s="7"/>
      <c r="L46" s="7"/>
      <c r="M46" s="16"/>
      <c r="N46" s="16"/>
      <c r="O46" s="16"/>
    </row>
    <row r="47" spans="1:15" x14ac:dyDescent="0.25">
      <c r="A47" s="36" t="s">
        <v>31</v>
      </c>
      <c r="B47" s="16"/>
      <c r="C47" s="16"/>
      <c r="D47" s="16"/>
      <c r="E47" s="16"/>
      <c r="F47" s="16"/>
      <c r="G47" s="16"/>
      <c r="H47" s="7"/>
      <c r="I47" s="7"/>
      <c r="J47" s="7"/>
      <c r="K47" s="7"/>
      <c r="L47" s="7"/>
      <c r="M47" s="16"/>
      <c r="N47" s="16"/>
      <c r="O47" s="16"/>
    </row>
    <row r="51" spans="1:15" x14ac:dyDescent="0.25">
      <c r="A51" s="22" t="s">
        <v>24</v>
      </c>
      <c r="D51" s="1" t="s">
        <v>90</v>
      </c>
      <c r="E51" s="1"/>
      <c r="F51" s="1"/>
      <c r="G51" s="1"/>
    </row>
    <row r="52" spans="1:15" x14ac:dyDescent="0.25"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</row>
    <row r="53" spans="1:15" ht="15.75" thickBot="1" x14ac:dyDescent="0.3">
      <c r="A53" s="23"/>
      <c r="B53" s="39" t="s">
        <v>25</v>
      </c>
      <c r="C53" s="39"/>
      <c r="D53" s="39"/>
      <c r="E53" s="39"/>
      <c r="F53" s="39"/>
      <c r="G53" s="39"/>
      <c r="H53" s="40" t="s">
        <v>75</v>
      </c>
      <c r="I53" s="40" t="s">
        <v>19</v>
      </c>
      <c r="J53" s="40" t="s">
        <v>20</v>
      </c>
      <c r="K53" s="40" t="s">
        <v>21</v>
      </c>
      <c r="L53" s="40" t="s">
        <v>139</v>
      </c>
      <c r="M53" s="39" t="s">
        <v>105</v>
      </c>
      <c r="N53" s="39"/>
      <c r="O53" s="39"/>
    </row>
    <row r="54" spans="1:15" ht="15.75" thickTop="1" x14ac:dyDescent="0.25">
      <c r="A54" s="37" t="s">
        <v>26</v>
      </c>
      <c r="B54" s="38"/>
      <c r="C54" s="41" t="s">
        <v>88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</row>
    <row r="55" spans="1:15" x14ac:dyDescent="0.25">
      <c r="A55" s="36" t="s">
        <v>27</v>
      </c>
      <c r="B55" s="15" t="s">
        <v>114</v>
      </c>
      <c r="C55" s="15"/>
      <c r="D55" s="15"/>
      <c r="E55" s="15"/>
      <c r="F55" s="15"/>
      <c r="G55" s="15"/>
      <c r="H55" s="7" t="s">
        <v>118</v>
      </c>
      <c r="I55" s="7" t="s">
        <v>104</v>
      </c>
      <c r="J55" s="7" t="s">
        <v>106</v>
      </c>
      <c r="K55" s="7" t="s">
        <v>106</v>
      </c>
      <c r="L55" s="13"/>
      <c r="M55" s="16" t="s">
        <v>116</v>
      </c>
      <c r="N55" s="16"/>
      <c r="O55" s="16"/>
    </row>
    <row r="56" spans="1:15" x14ac:dyDescent="0.25">
      <c r="A56" s="36" t="s">
        <v>28</v>
      </c>
      <c r="B56" s="15"/>
      <c r="C56" s="15"/>
      <c r="D56" s="15"/>
      <c r="E56" s="15"/>
      <c r="F56" s="15"/>
      <c r="G56" s="15"/>
      <c r="H56" s="7"/>
      <c r="I56" s="7"/>
      <c r="J56" s="7"/>
      <c r="K56" s="7"/>
      <c r="L56" s="7"/>
      <c r="M56" s="16"/>
      <c r="N56" s="16"/>
      <c r="O56" s="16"/>
    </row>
    <row r="57" spans="1:15" x14ac:dyDescent="0.25">
      <c r="A57" s="36" t="s">
        <v>29</v>
      </c>
      <c r="B57" s="15"/>
      <c r="C57" s="15"/>
      <c r="D57" s="15"/>
      <c r="E57" s="15"/>
      <c r="F57" s="15"/>
      <c r="G57" s="15"/>
      <c r="H57" s="7"/>
      <c r="I57" s="7"/>
      <c r="J57" s="7"/>
      <c r="K57" s="7"/>
      <c r="L57" s="7"/>
      <c r="M57" s="16"/>
      <c r="N57" s="16"/>
      <c r="O57" s="16"/>
    </row>
    <row r="58" spans="1:15" x14ac:dyDescent="0.25">
      <c r="A58" s="36" t="s">
        <v>30</v>
      </c>
      <c r="B58" s="15"/>
      <c r="C58" s="15"/>
      <c r="D58" s="15"/>
      <c r="E58" s="15"/>
      <c r="F58" s="15"/>
      <c r="G58" s="15"/>
      <c r="H58" s="7"/>
      <c r="I58" s="7"/>
      <c r="J58" s="7"/>
      <c r="K58" s="7"/>
      <c r="L58" s="7"/>
      <c r="M58" s="16"/>
      <c r="N58" s="16"/>
      <c r="O58" s="16"/>
    </row>
    <row r="59" spans="1:15" x14ac:dyDescent="0.25">
      <c r="A59" s="36" t="s">
        <v>31</v>
      </c>
      <c r="B59" s="15"/>
      <c r="C59" s="15"/>
      <c r="D59" s="15"/>
      <c r="E59" s="15"/>
      <c r="F59" s="15"/>
      <c r="G59" s="15"/>
      <c r="H59" s="7"/>
      <c r="I59" s="7"/>
      <c r="J59" s="7"/>
      <c r="K59" s="7"/>
      <c r="L59" s="7"/>
      <c r="M59" s="16"/>
      <c r="N59" s="16"/>
      <c r="O59" s="16"/>
    </row>
    <row r="61" spans="1:15" x14ac:dyDescent="0.25">
      <c r="A61" s="37" t="s">
        <v>26</v>
      </c>
      <c r="B61" s="38"/>
      <c r="C61" s="22" t="s">
        <v>47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</row>
    <row r="62" spans="1:15" x14ac:dyDescent="0.25">
      <c r="A62" s="36" t="s">
        <v>27</v>
      </c>
      <c r="B62" s="15" t="s">
        <v>115</v>
      </c>
      <c r="C62" s="15"/>
      <c r="D62" s="15"/>
      <c r="E62" s="15"/>
      <c r="F62" s="15"/>
      <c r="G62" s="15"/>
      <c r="H62" s="7" t="s">
        <v>101</v>
      </c>
      <c r="I62" s="7" t="s">
        <v>104</v>
      </c>
      <c r="J62" s="7" t="s">
        <v>106</v>
      </c>
      <c r="K62" s="7" t="s">
        <v>106</v>
      </c>
      <c r="L62" s="7"/>
      <c r="M62" s="16" t="s">
        <v>117</v>
      </c>
      <c r="N62" s="16"/>
      <c r="O62" s="16"/>
    </row>
    <row r="63" spans="1:15" x14ac:dyDescent="0.25">
      <c r="A63" s="36" t="s">
        <v>28</v>
      </c>
      <c r="B63" s="15"/>
      <c r="C63" s="15"/>
      <c r="D63" s="15"/>
      <c r="E63" s="15"/>
      <c r="F63" s="15"/>
      <c r="G63" s="15"/>
      <c r="H63" s="7"/>
      <c r="I63" s="7"/>
      <c r="J63" s="7"/>
      <c r="K63" s="7"/>
      <c r="L63" s="7"/>
      <c r="M63" s="16"/>
      <c r="N63" s="16"/>
      <c r="O63" s="16"/>
    </row>
    <row r="64" spans="1:15" x14ac:dyDescent="0.25">
      <c r="A64" s="36" t="s">
        <v>29</v>
      </c>
      <c r="B64" s="15"/>
      <c r="C64" s="15"/>
      <c r="D64" s="15"/>
      <c r="E64" s="15"/>
      <c r="F64" s="15"/>
      <c r="G64" s="15"/>
      <c r="H64" s="7"/>
      <c r="I64" s="7"/>
      <c r="J64" s="7"/>
      <c r="K64" s="7"/>
      <c r="L64" s="7"/>
      <c r="M64" s="16"/>
      <c r="N64" s="16"/>
      <c r="O64" s="16"/>
    </row>
    <row r="65" spans="1:15" x14ac:dyDescent="0.25">
      <c r="A65" s="36" t="s">
        <v>30</v>
      </c>
      <c r="B65" s="15"/>
      <c r="C65" s="15"/>
      <c r="D65" s="15"/>
      <c r="E65" s="15"/>
      <c r="F65" s="15"/>
      <c r="G65" s="15"/>
      <c r="H65" s="7"/>
      <c r="I65" s="7"/>
      <c r="J65" s="7"/>
      <c r="K65" s="7"/>
      <c r="L65" s="7"/>
      <c r="M65" s="16"/>
      <c r="N65" s="16"/>
      <c r="O65" s="16"/>
    </row>
    <row r="66" spans="1:15" x14ac:dyDescent="0.25">
      <c r="A66" s="36" t="s">
        <v>31</v>
      </c>
      <c r="B66" s="15"/>
      <c r="C66" s="15"/>
      <c r="D66" s="15"/>
      <c r="E66" s="15"/>
      <c r="F66" s="15"/>
      <c r="G66" s="15"/>
      <c r="H66" s="7"/>
      <c r="I66" s="7"/>
      <c r="J66" s="7"/>
      <c r="K66" s="7"/>
      <c r="L66" s="7"/>
      <c r="M66" s="16"/>
      <c r="N66" s="16"/>
      <c r="O66" s="16"/>
    </row>
    <row r="68" spans="1:15" x14ac:dyDescent="0.25">
      <c r="A68" s="37" t="s">
        <v>26</v>
      </c>
      <c r="B68" s="38"/>
      <c r="C68" s="22" t="s">
        <v>46</v>
      </c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</row>
    <row r="69" spans="1:15" x14ac:dyDescent="0.25">
      <c r="A69" s="36" t="s">
        <v>27</v>
      </c>
      <c r="B69" s="15" t="s">
        <v>110</v>
      </c>
      <c r="C69" s="15"/>
      <c r="D69" s="15"/>
      <c r="E69" s="15"/>
      <c r="F69" s="15"/>
      <c r="G69" s="15"/>
      <c r="H69" s="7" t="s">
        <v>100</v>
      </c>
      <c r="I69" s="7" t="s">
        <v>104</v>
      </c>
      <c r="J69" s="7" t="s">
        <v>106</v>
      </c>
      <c r="K69" s="7" t="s">
        <v>106</v>
      </c>
      <c r="L69" s="13" t="s">
        <v>140</v>
      </c>
      <c r="M69" s="16" t="s">
        <v>138</v>
      </c>
      <c r="N69" s="16"/>
      <c r="O69" s="16"/>
    </row>
    <row r="70" spans="1:15" x14ac:dyDescent="0.25">
      <c r="A70" s="36" t="s">
        <v>28</v>
      </c>
      <c r="B70" s="15"/>
      <c r="C70" s="15"/>
      <c r="D70" s="15"/>
      <c r="E70" s="15"/>
      <c r="F70" s="15"/>
      <c r="G70" s="15"/>
      <c r="H70" s="7"/>
      <c r="I70" s="7"/>
      <c r="J70" s="7"/>
      <c r="K70" s="7"/>
      <c r="L70" s="7"/>
      <c r="M70" s="16"/>
      <c r="N70" s="16"/>
      <c r="O70" s="16"/>
    </row>
    <row r="71" spans="1:15" x14ac:dyDescent="0.25">
      <c r="A71" s="36" t="s">
        <v>29</v>
      </c>
      <c r="B71" s="15"/>
      <c r="C71" s="15"/>
      <c r="D71" s="15"/>
      <c r="E71" s="15"/>
      <c r="F71" s="15"/>
      <c r="G71" s="15"/>
      <c r="H71" s="7"/>
      <c r="I71" s="7"/>
      <c r="J71" s="7"/>
      <c r="K71" s="7"/>
      <c r="L71" s="7"/>
      <c r="M71" s="16"/>
      <c r="N71" s="16"/>
      <c r="O71" s="16"/>
    </row>
    <row r="72" spans="1:15" x14ac:dyDescent="0.25">
      <c r="A72" s="36" t="s">
        <v>30</v>
      </c>
      <c r="B72" s="15"/>
      <c r="C72" s="15"/>
      <c r="D72" s="15"/>
      <c r="E72" s="15"/>
      <c r="F72" s="15"/>
      <c r="G72" s="15"/>
      <c r="H72" s="7"/>
      <c r="I72" s="7"/>
      <c r="J72" s="7"/>
      <c r="K72" s="7"/>
      <c r="L72" s="7"/>
      <c r="M72" s="16"/>
      <c r="N72" s="16"/>
      <c r="O72" s="16"/>
    </row>
    <row r="73" spans="1:15" x14ac:dyDescent="0.25">
      <c r="A73" s="36" t="s">
        <v>31</v>
      </c>
      <c r="B73" s="15"/>
      <c r="C73" s="15"/>
      <c r="D73" s="15"/>
      <c r="E73" s="15"/>
      <c r="F73" s="15"/>
      <c r="G73" s="15"/>
      <c r="H73" s="7"/>
      <c r="I73" s="7"/>
      <c r="J73" s="7"/>
      <c r="K73" s="7"/>
      <c r="L73" s="7"/>
      <c r="M73" s="16"/>
      <c r="N73" s="16"/>
      <c r="O73" s="16"/>
    </row>
    <row r="75" spans="1:15" x14ac:dyDescent="0.25">
      <c r="A75" s="37" t="s">
        <v>26</v>
      </c>
      <c r="B75" s="38"/>
      <c r="C75" s="22" t="s">
        <v>16</v>
      </c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</row>
    <row r="76" spans="1:15" x14ac:dyDescent="0.25">
      <c r="A76" s="36" t="s">
        <v>27</v>
      </c>
      <c r="B76" s="15" t="s">
        <v>119</v>
      </c>
      <c r="C76" s="15"/>
      <c r="D76" s="15"/>
      <c r="E76" s="15"/>
      <c r="F76" s="15"/>
      <c r="G76" s="15"/>
      <c r="H76" s="7" t="s">
        <v>122</v>
      </c>
      <c r="I76" s="7" t="s">
        <v>104</v>
      </c>
      <c r="J76" s="7" t="s">
        <v>106</v>
      </c>
      <c r="K76" s="7" t="s">
        <v>106</v>
      </c>
      <c r="L76" s="7"/>
      <c r="M76" s="16" t="s">
        <v>124</v>
      </c>
      <c r="N76" s="16"/>
      <c r="O76" s="16"/>
    </row>
    <row r="77" spans="1:15" x14ac:dyDescent="0.25">
      <c r="A77" s="36" t="s">
        <v>28</v>
      </c>
      <c r="B77" s="15" t="s">
        <v>120</v>
      </c>
      <c r="C77" s="15"/>
      <c r="D77" s="15"/>
      <c r="E77" s="15"/>
      <c r="F77" s="15"/>
      <c r="G77" s="15"/>
      <c r="H77" s="7" t="s">
        <v>101</v>
      </c>
      <c r="I77" s="7" t="s">
        <v>104</v>
      </c>
      <c r="J77" s="13" t="s">
        <v>123</v>
      </c>
      <c r="K77" s="7" t="s">
        <v>106</v>
      </c>
      <c r="L77" s="7"/>
      <c r="M77" s="16" t="s">
        <v>117</v>
      </c>
      <c r="N77" s="16"/>
      <c r="O77" s="16"/>
    </row>
    <row r="78" spans="1:15" x14ac:dyDescent="0.25">
      <c r="A78" s="36" t="s">
        <v>29</v>
      </c>
      <c r="B78" s="15" t="s">
        <v>121</v>
      </c>
      <c r="C78" s="15"/>
      <c r="D78" s="15"/>
      <c r="E78" s="15"/>
      <c r="F78" s="15"/>
      <c r="G78" s="15"/>
      <c r="H78" s="7" t="s">
        <v>118</v>
      </c>
      <c r="I78" s="7" t="s">
        <v>104</v>
      </c>
      <c r="J78" s="7" t="s">
        <v>106</v>
      </c>
      <c r="K78" s="7" t="s">
        <v>106</v>
      </c>
      <c r="L78" s="7"/>
      <c r="M78" s="16" t="s">
        <v>116</v>
      </c>
      <c r="N78" s="16"/>
      <c r="O78" s="16"/>
    </row>
    <row r="79" spans="1:15" x14ac:dyDescent="0.25">
      <c r="A79" s="36" t="s">
        <v>30</v>
      </c>
      <c r="B79" s="15"/>
      <c r="C79" s="15"/>
      <c r="D79" s="15"/>
      <c r="E79" s="15"/>
      <c r="F79" s="15"/>
      <c r="G79" s="15"/>
      <c r="H79" s="7"/>
      <c r="I79" s="7"/>
      <c r="J79" s="7"/>
      <c r="K79" s="7"/>
      <c r="L79" s="7"/>
      <c r="M79" s="16"/>
      <c r="N79" s="16"/>
      <c r="O79" s="16"/>
    </row>
    <row r="80" spans="1:15" x14ac:dyDescent="0.25">
      <c r="A80" s="36" t="s">
        <v>31</v>
      </c>
      <c r="B80" s="15"/>
      <c r="C80" s="15"/>
      <c r="D80" s="15"/>
      <c r="E80" s="15"/>
      <c r="F80" s="15"/>
      <c r="G80" s="15"/>
      <c r="H80" s="7"/>
      <c r="I80" s="7"/>
      <c r="J80" s="7"/>
      <c r="K80" s="7"/>
      <c r="L80" s="7"/>
      <c r="M80" s="16"/>
      <c r="N80" s="16"/>
      <c r="O80" s="16"/>
    </row>
    <row r="82" spans="1:15" x14ac:dyDescent="0.25">
      <c r="A82" s="37" t="s">
        <v>26</v>
      </c>
      <c r="B82" s="38"/>
      <c r="C82" s="22" t="s">
        <v>49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</row>
    <row r="83" spans="1:15" x14ac:dyDescent="0.25">
      <c r="A83" s="36" t="s">
        <v>27</v>
      </c>
      <c r="B83" s="15" t="s">
        <v>125</v>
      </c>
      <c r="C83" s="15"/>
      <c r="D83" s="15"/>
      <c r="E83" s="15"/>
      <c r="F83" s="15"/>
      <c r="G83" s="15"/>
      <c r="H83" s="7" t="s">
        <v>122</v>
      </c>
      <c r="I83" s="7" t="s">
        <v>104</v>
      </c>
      <c r="J83" s="7" t="s">
        <v>106</v>
      </c>
      <c r="K83" s="7" t="s">
        <v>106</v>
      </c>
      <c r="L83" s="7"/>
      <c r="M83" s="16" t="s">
        <v>124</v>
      </c>
      <c r="N83" s="16"/>
      <c r="O83" s="16"/>
    </row>
    <row r="84" spans="1:15" x14ac:dyDescent="0.25">
      <c r="A84" s="36" t="s">
        <v>28</v>
      </c>
      <c r="B84" s="15"/>
      <c r="C84" s="15"/>
      <c r="D84" s="15"/>
      <c r="E84" s="15"/>
      <c r="F84" s="15"/>
      <c r="G84" s="15"/>
      <c r="H84" s="7"/>
      <c r="I84" s="7"/>
      <c r="J84" s="7"/>
      <c r="K84" s="7"/>
      <c r="L84" s="7"/>
      <c r="M84" s="16"/>
      <c r="N84" s="16"/>
      <c r="O84" s="16"/>
    </row>
    <row r="85" spans="1:15" x14ac:dyDescent="0.25">
      <c r="A85" s="36" t="s">
        <v>29</v>
      </c>
      <c r="B85" s="15"/>
      <c r="C85" s="15"/>
      <c r="D85" s="15"/>
      <c r="E85" s="15"/>
      <c r="F85" s="15"/>
      <c r="G85" s="15"/>
      <c r="H85" s="7"/>
      <c r="I85" s="7"/>
      <c r="J85" s="7"/>
      <c r="K85" s="7"/>
      <c r="L85" s="7"/>
      <c r="M85" s="16"/>
      <c r="N85" s="16"/>
      <c r="O85" s="16"/>
    </row>
    <row r="86" spans="1:15" x14ac:dyDescent="0.25">
      <c r="A86" s="36" t="s">
        <v>30</v>
      </c>
      <c r="B86" s="15"/>
      <c r="C86" s="15"/>
      <c r="D86" s="15"/>
      <c r="E86" s="15"/>
      <c r="F86" s="15"/>
      <c r="G86" s="15"/>
      <c r="H86" s="7"/>
      <c r="I86" s="7"/>
      <c r="J86" s="7"/>
      <c r="K86" s="7"/>
      <c r="L86" s="7"/>
      <c r="M86" s="16"/>
      <c r="N86" s="16"/>
      <c r="O86" s="16"/>
    </row>
    <row r="87" spans="1:15" x14ac:dyDescent="0.25">
      <c r="A87" s="36" t="s">
        <v>31</v>
      </c>
      <c r="B87" s="15"/>
      <c r="C87" s="15"/>
      <c r="D87" s="15"/>
      <c r="E87" s="15"/>
      <c r="F87" s="15"/>
      <c r="G87" s="15"/>
      <c r="H87" s="7"/>
      <c r="I87" s="7"/>
      <c r="J87" s="7"/>
      <c r="K87" s="7"/>
      <c r="L87" s="7"/>
      <c r="M87" s="16"/>
      <c r="N87" s="16"/>
      <c r="O87" s="16"/>
    </row>
    <row r="89" spans="1:15" x14ac:dyDescent="0.25">
      <c r="A89" s="37" t="s">
        <v>26</v>
      </c>
      <c r="B89" s="38"/>
      <c r="C89" s="22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</row>
    <row r="90" spans="1:15" x14ac:dyDescent="0.25">
      <c r="A90" s="36" t="s">
        <v>27</v>
      </c>
      <c r="B90" s="15"/>
      <c r="C90" s="15"/>
      <c r="D90" s="15"/>
      <c r="E90" s="15"/>
      <c r="F90" s="15"/>
      <c r="G90" s="15"/>
      <c r="H90" s="7"/>
      <c r="I90" s="7"/>
      <c r="J90" s="7"/>
      <c r="K90" s="7"/>
      <c r="L90" s="7"/>
      <c r="M90" s="16"/>
      <c r="N90" s="16"/>
      <c r="O90" s="16"/>
    </row>
    <row r="91" spans="1:15" x14ac:dyDescent="0.25">
      <c r="A91" s="36" t="s">
        <v>28</v>
      </c>
      <c r="B91" s="15"/>
      <c r="C91" s="15"/>
      <c r="D91" s="15"/>
      <c r="E91" s="15"/>
      <c r="F91" s="15"/>
      <c r="G91" s="15"/>
      <c r="H91" s="7"/>
      <c r="I91" s="7"/>
      <c r="J91" s="7"/>
      <c r="K91" s="7"/>
      <c r="L91" s="7"/>
      <c r="M91" s="16"/>
      <c r="N91" s="16"/>
      <c r="O91" s="16"/>
    </row>
    <row r="92" spans="1:15" x14ac:dyDescent="0.25">
      <c r="A92" s="36" t="s">
        <v>29</v>
      </c>
      <c r="B92" s="15"/>
      <c r="C92" s="15"/>
      <c r="D92" s="15"/>
      <c r="E92" s="15"/>
      <c r="F92" s="15"/>
      <c r="G92" s="15"/>
      <c r="H92" s="7"/>
      <c r="I92" s="7"/>
      <c r="J92" s="7"/>
      <c r="K92" s="7"/>
      <c r="L92" s="7"/>
      <c r="M92" s="16"/>
      <c r="N92" s="16"/>
      <c r="O92" s="16"/>
    </row>
    <row r="93" spans="1:15" x14ac:dyDescent="0.25">
      <c r="A93" s="36" t="s">
        <v>30</v>
      </c>
      <c r="B93" s="15"/>
      <c r="C93" s="15"/>
      <c r="D93" s="15"/>
      <c r="E93" s="15"/>
      <c r="F93" s="15"/>
      <c r="G93" s="15"/>
      <c r="H93" s="7"/>
      <c r="I93" s="7"/>
      <c r="J93" s="7"/>
      <c r="K93" s="7"/>
      <c r="L93" s="7"/>
      <c r="M93" s="16"/>
      <c r="N93" s="16"/>
      <c r="O93" s="16"/>
    </row>
    <row r="94" spans="1:15" x14ac:dyDescent="0.25">
      <c r="A94" s="36" t="s">
        <v>31</v>
      </c>
      <c r="B94" s="15"/>
      <c r="C94" s="15"/>
      <c r="D94" s="15"/>
      <c r="E94" s="15"/>
      <c r="F94" s="15"/>
      <c r="G94" s="15"/>
      <c r="H94" s="7"/>
      <c r="I94" s="7"/>
      <c r="J94" s="7"/>
      <c r="K94" s="7"/>
      <c r="L94" s="7"/>
      <c r="M94" s="16"/>
      <c r="N94" s="16"/>
      <c r="O94" s="16"/>
    </row>
    <row r="95" spans="1:15" x14ac:dyDescent="0.2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</sheetData>
  <mergeCells count="128">
    <mergeCell ref="M71:O71"/>
    <mergeCell ref="M72:O72"/>
    <mergeCell ref="M73:O73"/>
    <mergeCell ref="M76:O76"/>
    <mergeCell ref="M77:O77"/>
    <mergeCell ref="M78:O78"/>
    <mergeCell ref="M79:O79"/>
    <mergeCell ref="M80:O80"/>
    <mergeCell ref="M83:O83"/>
    <mergeCell ref="M70:O70"/>
    <mergeCell ref="M1:O1"/>
    <mergeCell ref="M6:O6"/>
    <mergeCell ref="M8:O8"/>
    <mergeCell ref="M9:O9"/>
    <mergeCell ref="M10:O10"/>
    <mergeCell ref="M11:O11"/>
    <mergeCell ref="M12:O12"/>
    <mergeCell ref="M15:O15"/>
    <mergeCell ref="M16:O16"/>
    <mergeCell ref="M17:O17"/>
    <mergeCell ref="M18:O18"/>
    <mergeCell ref="M19:O19"/>
    <mergeCell ref="M22:O22"/>
    <mergeCell ref="M23:O23"/>
    <mergeCell ref="M24:O24"/>
    <mergeCell ref="M25:O25"/>
    <mergeCell ref="M26:O26"/>
    <mergeCell ref="M29:O29"/>
    <mergeCell ref="M30:O30"/>
    <mergeCell ref="M31:O31"/>
    <mergeCell ref="M32:O32"/>
    <mergeCell ref="M33:O33"/>
    <mergeCell ref="M36:O36"/>
    <mergeCell ref="R1:S1"/>
    <mergeCell ref="B79:G79"/>
    <mergeCell ref="B80:G80"/>
    <mergeCell ref="B77:G77"/>
    <mergeCell ref="B78:G78"/>
    <mergeCell ref="B71:G71"/>
    <mergeCell ref="B72:G72"/>
    <mergeCell ref="B73:G73"/>
    <mergeCell ref="B66:G66"/>
    <mergeCell ref="B70:G70"/>
    <mergeCell ref="B63:G63"/>
    <mergeCell ref="B64:G64"/>
    <mergeCell ref="B65:G65"/>
    <mergeCell ref="B58:G58"/>
    <mergeCell ref="B59:G59"/>
    <mergeCell ref="B62:G62"/>
    <mergeCell ref="B69:G69"/>
    <mergeCell ref="M69:O69"/>
    <mergeCell ref="M58:O58"/>
    <mergeCell ref="M59:O59"/>
    <mergeCell ref="M62:O62"/>
    <mergeCell ref="M63:O63"/>
    <mergeCell ref="M64:O64"/>
    <mergeCell ref="M65:O65"/>
    <mergeCell ref="B47:G47"/>
    <mergeCell ref="B53:G53"/>
    <mergeCell ref="B56:G56"/>
    <mergeCell ref="B57:G57"/>
    <mergeCell ref="B55:G55"/>
    <mergeCell ref="M47:O47"/>
    <mergeCell ref="M53:O53"/>
    <mergeCell ref="M55:O55"/>
    <mergeCell ref="M56:O56"/>
    <mergeCell ref="M57:O57"/>
    <mergeCell ref="M37:O37"/>
    <mergeCell ref="M38:O38"/>
    <mergeCell ref="M39:O39"/>
    <mergeCell ref="M40:O40"/>
    <mergeCell ref="M43:O43"/>
    <mergeCell ref="M44:O44"/>
    <mergeCell ref="M45:O45"/>
    <mergeCell ref="M46:O46"/>
    <mergeCell ref="M66:O66"/>
    <mergeCell ref="B24:G24"/>
    <mergeCell ref="B25:G25"/>
    <mergeCell ref="B26:G26"/>
    <mergeCell ref="B40:G40"/>
    <mergeCell ref="B46:G46"/>
    <mergeCell ref="B37:G37"/>
    <mergeCell ref="B38:G38"/>
    <mergeCell ref="B39:G39"/>
    <mergeCell ref="B43:G43"/>
    <mergeCell ref="B44:G44"/>
    <mergeCell ref="B45:G45"/>
    <mergeCell ref="B8:G8"/>
    <mergeCell ref="B9:G9"/>
    <mergeCell ref="B10:G10"/>
    <mergeCell ref="A1:C1"/>
    <mergeCell ref="D1:K1"/>
    <mergeCell ref="B6:G6"/>
    <mergeCell ref="B76:G76"/>
    <mergeCell ref="B83:G83"/>
    <mergeCell ref="B84:G84"/>
    <mergeCell ref="B19:G19"/>
    <mergeCell ref="B22:G22"/>
    <mergeCell ref="B23:G23"/>
    <mergeCell ref="B16:G16"/>
    <mergeCell ref="B17:G17"/>
    <mergeCell ref="B18:G18"/>
    <mergeCell ref="B11:G11"/>
    <mergeCell ref="B12:G12"/>
    <mergeCell ref="B15:G15"/>
    <mergeCell ref="B32:G32"/>
    <mergeCell ref="B33:G33"/>
    <mergeCell ref="B36:G36"/>
    <mergeCell ref="B29:G29"/>
    <mergeCell ref="B30:G30"/>
    <mergeCell ref="B31:G31"/>
    <mergeCell ref="B85:G85"/>
    <mergeCell ref="B86:G86"/>
    <mergeCell ref="M84:O84"/>
    <mergeCell ref="M85:O85"/>
    <mergeCell ref="M86:O86"/>
    <mergeCell ref="B94:G94"/>
    <mergeCell ref="B87:G87"/>
    <mergeCell ref="B90:G90"/>
    <mergeCell ref="B91:G91"/>
    <mergeCell ref="B92:G92"/>
    <mergeCell ref="B93:G93"/>
    <mergeCell ref="M87:O87"/>
    <mergeCell ref="M90:O90"/>
    <mergeCell ref="M91:O91"/>
    <mergeCell ref="M92:O92"/>
    <mergeCell ref="M93:O93"/>
    <mergeCell ref="M94:O94"/>
  </mergeCells>
  <phoneticPr fontId="3" type="noConversion"/>
  <pageMargins left="0.7" right="0.7" top="0.75" bottom="0.75" header="0.3" footer="0.3"/>
  <pageSetup paperSize="9" scale="48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B128-7248-4FDB-88EA-9543CF97B1D1}">
  <sheetPr>
    <pageSetUpPr fitToPage="1"/>
  </sheetPr>
  <dimension ref="A1:W79"/>
  <sheetViews>
    <sheetView tabSelected="1" workbookViewId="0">
      <selection activeCell="V7" sqref="V7"/>
    </sheetView>
  </sheetViews>
  <sheetFormatPr defaultRowHeight="15" x14ac:dyDescent="0.25"/>
  <cols>
    <col min="1" max="1" width="9.28515625" style="21" customWidth="1"/>
    <col min="2" max="3" width="9.140625" style="21"/>
    <col min="4" max="5" width="11.140625" style="21" customWidth="1"/>
    <col min="6" max="7" width="9.140625" style="21"/>
    <col min="8" max="8" width="13.7109375" style="21" customWidth="1"/>
    <col min="9" max="16384" width="9.140625" style="21"/>
  </cols>
  <sheetData>
    <row r="1" spans="1:23" ht="76.5" customHeight="1" thickBot="1" x14ac:dyDescent="0.3">
      <c r="A1" s="26"/>
      <c r="B1" s="27"/>
      <c r="C1" s="28"/>
      <c r="D1" s="29" t="s">
        <v>42</v>
      </c>
      <c r="E1" s="30"/>
      <c r="F1" s="30"/>
      <c r="G1" s="30"/>
      <c r="H1" s="30"/>
      <c r="I1" s="30"/>
      <c r="J1" s="30"/>
      <c r="K1" s="30"/>
      <c r="L1" s="31"/>
      <c r="M1" s="32" t="s">
        <v>56</v>
      </c>
      <c r="N1" s="33"/>
      <c r="O1" s="34"/>
      <c r="R1" s="22" t="s">
        <v>43</v>
      </c>
      <c r="S1" s="35"/>
      <c r="T1" s="35"/>
    </row>
    <row r="3" spans="1:23" x14ac:dyDescent="0.25">
      <c r="A3" s="22" t="s">
        <v>24</v>
      </c>
      <c r="D3" s="1" t="s">
        <v>89</v>
      </c>
      <c r="E3" s="1"/>
      <c r="F3" s="1"/>
      <c r="G3" s="1"/>
      <c r="H3" s="1"/>
      <c r="J3" s="22"/>
    </row>
    <row r="5" spans="1:23" ht="15.75" customHeight="1" thickBot="1" x14ac:dyDescent="0.3">
      <c r="A5" s="23"/>
      <c r="B5" s="23"/>
      <c r="C5" s="23"/>
      <c r="D5" s="23" t="s">
        <v>53</v>
      </c>
      <c r="E5" s="23" t="s">
        <v>54</v>
      </c>
      <c r="F5" s="52" t="s">
        <v>38</v>
      </c>
      <c r="G5" s="52"/>
      <c r="H5" s="23" t="s">
        <v>74</v>
      </c>
      <c r="I5" s="23"/>
      <c r="J5" s="23" t="s">
        <v>51</v>
      </c>
      <c r="K5" s="23"/>
      <c r="L5" s="23"/>
      <c r="M5" s="23" t="s">
        <v>41</v>
      </c>
      <c r="N5" s="23"/>
      <c r="O5" s="23"/>
    </row>
    <row r="6" spans="1:23" ht="15.75" thickTop="1" x14ac:dyDescent="0.25">
      <c r="A6" s="48" t="s">
        <v>32</v>
      </c>
      <c r="B6" s="48"/>
      <c r="C6" s="49" t="s">
        <v>88</v>
      </c>
    </row>
    <row r="7" spans="1:23" x14ac:dyDescent="0.25">
      <c r="A7" s="46" t="s">
        <v>33</v>
      </c>
      <c r="B7" s="46"/>
      <c r="C7" s="46"/>
      <c r="D7" s="5">
        <v>30</v>
      </c>
      <c r="E7" s="5">
        <v>13</v>
      </c>
      <c r="F7" s="21">
        <f>AVERAGE(D7:E7)</f>
        <v>21.5</v>
      </c>
      <c r="H7" s="1">
        <v>200</v>
      </c>
      <c r="J7" s="45">
        <f>F7*H7</f>
        <v>4300</v>
      </c>
      <c r="K7" s="45"/>
      <c r="M7" s="11" t="s">
        <v>92</v>
      </c>
      <c r="N7" s="11"/>
      <c r="R7" s="54"/>
      <c r="S7" s="54"/>
      <c r="T7" s="54"/>
      <c r="U7" s="54"/>
      <c r="V7" s="54"/>
      <c r="W7" s="54"/>
    </row>
    <row r="8" spans="1:23" x14ac:dyDescent="0.25">
      <c r="A8" s="46" t="s">
        <v>34</v>
      </c>
      <c r="B8" s="46"/>
      <c r="C8" s="46"/>
      <c r="D8" s="5">
        <v>12</v>
      </c>
      <c r="E8" s="5">
        <v>7</v>
      </c>
      <c r="F8" s="21">
        <f t="shared" ref="F8:F39" si="0">AVERAGE(D8:E8)</f>
        <v>9.5</v>
      </c>
      <c r="H8" s="1">
        <v>200</v>
      </c>
      <c r="J8" s="45">
        <f t="shared" ref="J8:J11" si="1">F8*H8</f>
        <v>1900</v>
      </c>
      <c r="K8" s="45"/>
      <c r="M8" s="12" t="s">
        <v>129</v>
      </c>
      <c r="N8" s="12"/>
      <c r="T8" s="21" t="s">
        <v>130</v>
      </c>
    </row>
    <row r="9" spans="1:23" x14ac:dyDescent="0.25">
      <c r="A9" s="46" t="s">
        <v>35</v>
      </c>
      <c r="B9" s="46"/>
      <c r="C9" s="46"/>
      <c r="D9" s="5"/>
      <c r="E9" s="5"/>
      <c r="F9" s="21" t="e">
        <f t="shared" si="0"/>
        <v>#DIV/0!</v>
      </c>
      <c r="H9" s="1"/>
      <c r="J9" s="45" t="e">
        <f t="shared" si="1"/>
        <v>#DIV/0!</v>
      </c>
      <c r="K9" s="45"/>
      <c r="M9" s="12"/>
      <c r="N9" s="12"/>
      <c r="R9" s="50">
        <f>J7+J8</f>
        <v>6200</v>
      </c>
      <c r="T9" s="50">
        <f>AVERAGE(J29,R9)</f>
        <v>10600</v>
      </c>
    </row>
    <row r="10" spans="1:23" x14ac:dyDescent="0.25">
      <c r="A10" s="46" t="s">
        <v>36</v>
      </c>
      <c r="B10" s="46"/>
      <c r="C10" s="46"/>
      <c r="D10" s="5"/>
      <c r="E10" s="5"/>
      <c r="F10" s="21" t="e">
        <f t="shared" si="0"/>
        <v>#DIV/0!</v>
      </c>
      <c r="H10" s="1"/>
      <c r="J10" s="45" t="e">
        <f t="shared" si="1"/>
        <v>#DIV/0!</v>
      </c>
      <c r="K10" s="45"/>
      <c r="M10" s="12"/>
      <c r="N10" s="12"/>
      <c r="T10" s="6" t="s">
        <v>133</v>
      </c>
    </row>
    <row r="11" spans="1:23" x14ac:dyDescent="0.25">
      <c r="A11" s="46" t="s">
        <v>37</v>
      </c>
      <c r="B11" s="46"/>
      <c r="C11" s="46"/>
      <c r="D11" s="5"/>
      <c r="E11" s="5"/>
      <c r="F11" s="21" t="e">
        <f t="shared" si="0"/>
        <v>#DIV/0!</v>
      </c>
      <c r="H11" s="1"/>
      <c r="J11" s="45" t="e">
        <f t="shared" si="1"/>
        <v>#DIV/0!</v>
      </c>
      <c r="K11" s="45"/>
      <c r="M11" s="53"/>
      <c r="N11" s="53"/>
    </row>
    <row r="12" spans="1:23" x14ac:dyDescent="0.25">
      <c r="H12" s="6"/>
      <c r="M12" s="47"/>
      <c r="N12" s="47"/>
    </row>
    <row r="13" spans="1:23" x14ac:dyDescent="0.25">
      <c r="A13" s="48" t="s">
        <v>32</v>
      </c>
      <c r="B13" s="48"/>
      <c r="C13" s="49" t="s">
        <v>47</v>
      </c>
      <c r="M13" s="47"/>
      <c r="N13" s="47"/>
    </row>
    <row r="14" spans="1:23" x14ac:dyDescent="0.25">
      <c r="A14" s="46" t="s">
        <v>33</v>
      </c>
      <c r="B14" s="46"/>
      <c r="C14" s="46"/>
      <c r="D14" s="5">
        <v>137</v>
      </c>
      <c r="E14" s="5">
        <v>70</v>
      </c>
      <c r="F14" s="21">
        <f t="shared" si="0"/>
        <v>103.5</v>
      </c>
      <c r="H14" s="1">
        <v>200</v>
      </c>
      <c r="J14" s="45">
        <f>F14*H14</f>
        <v>20700</v>
      </c>
      <c r="K14" s="45"/>
      <c r="M14" s="11" t="s">
        <v>91</v>
      </c>
      <c r="N14" s="11"/>
      <c r="T14" s="21" t="s">
        <v>131</v>
      </c>
    </row>
    <row r="15" spans="1:23" x14ac:dyDescent="0.25">
      <c r="A15" s="46" t="s">
        <v>34</v>
      </c>
      <c r="B15" s="46"/>
      <c r="C15" s="46"/>
      <c r="D15" s="5">
        <v>50</v>
      </c>
      <c r="E15" s="5">
        <v>133</v>
      </c>
      <c r="F15" s="21">
        <f t="shared" si="0"/>
        <v>91.5</v>
      </c>
      <c r="H15" s="1">
        <v>200</v>
      </c>
      <c r="J15" s="45">
        <f t="shared" ref="J15:J18" si="2">F15*H15</f>
        <v>18300</v>
      </c>
      <c r="K15" s="45"/>
      <c r="M15" s="12" t="s">
        <v>137</v>
      </c>
      <c r="N15" s="12"/>
      <c r="T15" s="21">
        <v>0</v>
      </c>
    </row>
    <row r="16" spans="1:23" x14ac:dyDescent="0.25">
      <c r="A16" s="46" t="s">
        <v>35</v>
      </c>
      <c r="B16" s="46"/>
      <c r="C16" s="46"/>
      <c r="D16" s="5"/>
      <c r="E16" s="5"/>
      <c r="F16" s="21" t="e">
        <f t="shared" si="0"/>
        <v>#DIV/0!</v>
      </c>
      <c r="H16" s="1"/>
      <c r="J16" s="45" t="e">
        <f t="shared" si="2"/>
        <v>#DIV/0!</v>
      </c>
      <c r="K16" s="45"/>
      <c r="M16" s="12"/>
      <c r="N16" s="12"/>
      <c r="T16" s="6" t="s">
        <v>134</v>
      </c>
    </row>
    <row r="17" spans="1:20" x14ac:dyDescent="0.25">
      <c r="A17" s="46" t="s">
        <v>36</v>
      </c>
      <c r="B17" s="46"/>
      <c r="C17" s="46"/>
      <c r="D17" s="5"/>
      <c r="E17" s="5"/>
      <c r="F17" s="21" t="e">
        <f t="shared" si="0"/>
        <v>#DIV/0!</v>
      </c>
      <c r="H17" s="1"/>
      <c r="J17" s="45" t="e">
        <f t="shared" si="2"/>
        <v>#DIV/0!</v>
      </c>
      <c r="K17" s="45"/>
      <c r="M17" s="12"/>
      <c r="N17" s="12"/>
    </row>
    <row r="18" spans="1:20" x14ac:dyDescent="0.25">
      <c r="A18" s="46" t="s">
        <v>37</v>
      </c>
      <c r="B18" s="46"/>
      <c r="C18" s="46"/>
      <c r="D18" s="5"/>
      <c r="E18" s="5"/>
      <c r="F18" s="21" t="e">
        <f t="shared" si="0"/>
        <v>#DIV/0!</v>
      </c>
      <c r="H18" s="1"/>
      <c r="J18" s="45" t="e">
        <f t="shared" si="2"/>
        <v>#DIV/0!</v>
      </c>
      <c r="K18" s="45"/>
      <c r="M18" s="12"/>
      <c r="N18" s="12"/>
    </row>
    <row r="19" spans="1:20" x14ac:dyDescent="0.25">
      <c r="M19" s="47"/>
      <c r="N19" s="47"/>
    </row>
    <row r="20" spans="1:20" x14ac:dyDescent="0.25">
      <c r="A20" s="48" t="s">
        <v>32</v>
      </c>
      <c r="B20" s="48"/>
      <c r="C20" s="49" t="s">
        <v>49</v>
      </c>
      <c r="M20" s="47"/>
      <c r="N20" s="47"/>
    </row>
    <row r="21" spans="1:20" x14ac:dyDescent="0.25">
      <c r="A21" s="46" t="s">
        <v>33</v>
      </c>
      <c r="B21" s="46"/>
      <c r="C21" s="46"/>
      <c r="D21" s="5">
        <v>47</v>
      </c>
      <c r="E21" s="5">
        <v>27</v>
      </c>
      <c r="F21" s="21">
        <f t="shared" si="0"/>
        <v>37</v>
      </c>
      <c r="H21" s="1">
        <v>2000</v>
      </c>
      <c r="J21" s="45">
        <f>F21*H21</f>
        <v>74000</v>
      </c>
      <c r="K21" s="45"/>
      <c r="M21" s="11" t="s">
        <v>91</v>
      </c>
      <c r="N21" s="11"/>
      <c r="T21" s="21" t="s">
        <v>91</v>
      </c>
    </row>
    <row r="22" spans="1:20" x14ac:dyDescent="0.25">
      <c r="A22" s="46" t="s">
        <v>34</v>
      </c>
      <c r="B22" s="46"/>
      <c r="C22" s="46"/>
      <c r="D22" s="5">
        <v>211</v>
      </c>
      <c r="E22" s="5">
        <v>153</v>
      </c>
      <c r="F22" s="21">
        <f t="shared" si="0"/>
        <v>182</v>
      </c>
      <c r="H22" s="1">
        <v>2000</v>
      </c>
      <c r="J22" s="45">
        <f t="shared" ref="J22:J25" si="3">F22*H22</f>
        <v>364000</v>
      </c>
      <c r="K22" s="45"/>
      <c r="M22" s="12" t="s">
        <v>137</v>
      </c>
      <c r="N22" s="12"/>
      <c r="T22" s="50">
        <f>J21</f>
        <v>74000</v>
      </c>
    </row>
    <row r="23" spans="1:20" x14ac:dyDescent="0.25">
      <c r="A23" s="46" t="s">
        <v>35</v>
      </c>
      <c r="B23" s="46"/>
      <c r="C23" s="46"/>
      <c r="D23" s="5"/>
      <c r="E23" s="5"/>
      <c r="F23" s="21" t="e">
        <f t="shared" si="0"/>
        <v>#DIV/0!</v>
      </c>
      <c r="H23" s="1"/>
      <c r="J23" s="45" t="e">
        <f t="shared" si="3"/>
        <v>#DIV/0!</v>
      </c>
      <c r="K23" s="45"/>
      <c r="M23" s="12"/>
      <c r="N23" s="12"/>
      <c r="T23" s="6" t="s">
        <v>133</v>
      </c>
    </row>
    <row r="24" spans="1:20" x14ac:dyDescent="0.25">
      <c r="A24" s="46" t="s">
        <v>36</v>
      </c>
      <c r="B24" s="46"/>
      <c r="C24" s="46"/>
      <c r="D24" s="5"/>
      <c r="E24" s="5"/>
      <c r="F24" s="21" t="e">
        <f t="shared" si="0"/>
        <v>#DIV/0!</v>
      </c>
      <c r="H24" s="1"/>
      <c r="J24" s="45" t="e">
        <f t="shared" si="3"/>
        <v>#DIV/0!</v>
      </c>
      <c r="K24" s="45"/>
      <c r="M24" s="12"/>
      <c r="N24" s="12"/>
    </row>
    <row r="25" spans="1:20" x14ac:dyDescent="0.25">
      <c r="A25" s="46" t="s">
        <v>37</v>
      </c>
      <c r="B25" s="46"/>
      <c r="C25" s="46"/>
      <c r="D25" s="5"/>
      <c r="E25" s="5"/>
      <c r="F25" s="21" t="e">
        <f t="shared" si="0"/>
        <v>#DIV/0!</v>
      </c>
      <c r="H25" s="1"/>
      <c r="J25" s="45" t="e">
        <f t="shared" si="3"/>
        <v>#DIV/0!</v>
      </c>
      <c r="K25" s="45"/>
      <c r="M25" s="12"/>
      <c r="N25" s="12"/>
    </row>
    <row r="26" spans="1:20" x14ac:dyDescent="0.25">
      <c r="M26" s="47"/>
      <c r="N26" s="44"/>
    </row>
    <row r="27" spans="1:20" x14ac:dyDescent="0.25">
      <c r="A27" s="48" t="s">
        <v>32</v>
      </c>
      <c r="B27" s="48"/>
      <c r="C27" s="49" t="s">
        <v>16</v>
      </c>
      <c r="M27" s="47"/>
      <c r="N27" s="47"/>
    </row>
    <row r="28" spans="1:20" x14ac:dyDescent="0.25">
      <c r="A28" s="46" t="s">
        <v>33</v>
      </c>
      <c r="B28" s="46"/>
      <c r="C28" s="46"/>
      <c r="D28" s="5">
        <v>13</v>
      </c>
      <c r="E28" s="5">
        <v>12</v>
      </c>
      <c r="F28" s="21">
        <f t="shared" si="0"/>
        <v>12.5</v>
      </c>
      <c r="H28" s="1">
        <v>200</v>
      </c>
      <c r="J28" s="45">
        <f>F28*H28</f>
        <v>2500</v>
      </c>
      <c r="K28" s="45"/>
      <c r="M28" s="11" t="s">
        <v>91</v>
      </c>
      <c r="N28" s="11"/>
    </row>
    <row r="29" spans="1:20" x14ac:dyDescent="0.25">
      <c r="A29" s="46" t="s">
        <v>34</v>
      </c>
      <c r="B29" s="46"/>
      <c r="C29" s="46"/>
      <c r="D29" s="5">
        <v>80</v>
      </c>
      <c r="E29" s="5">
        <v>70</v>
      </c>
      <c r="F29" s="21">
        <f t="shared" si="0"/>
        <v>75</v>
      </c>
      <c r="H29" s="1">
        <v>200</v>
      </c>
      <c r="J29" s="45">
        <f t="shared" ref="J29:J32" si="4">F29*H29</f>
        <v>15000</v>
      </c>
      <c r="K29" s="45"/>
      <c r="M29" s="12" t="s">
        <v>92</v>
      </c>
      <c r="N29" s="12"/>
    </row>
    <row r="30" spans="1:20" x14ac:dyDescent="0.25">
      <c r="A30" s="46" t="s">
        <v>35</v>
      </c>
      <c r="B30" s="46"/>
      <c r="C30" s="46"/>
      <c r="D30" s="5"/>
      <c r="E30" s="5"/>
      <c r="F30" s="21" t="e">
        <f t="shared" si="0"/>
        <v>#DIV/0!</v>
      </c>
      <c r="H30" s="1"/>
      <c r="J30" s="45" t="e">
        <f t="shared" si="4"/>
        <v>#DIV/0!</v>
      </c>
      <c r="K30" s="45"/>
      <c r="M30" s="12"/>
      <c r="N30" s="12"/>
    </row>
    <row r="31" spans="1:20" x14ac:dyDescent="0.25">
      <c r="A31" s="46" t="s">
        <v>36</v>
      </c>
      <c r="B31" s="46"/>
      <c r="C31" s="46"/>
      <c r="D31" s="5"/>
      <c r="E31" s="5"/>
      <c r="F31" s="21" t="e">
        <f t="shared" si="0"/>
        <v>#DIV/0!</v>
      </c>
      <c r="H31" s="1"/>
      <c r="J31" s="45" t="e">
        <f t="shared" si="4"/>
        <v>#DIV/0!</v>
      </c>
      <c r="K31" s="45"/>
      <c r="M31" s="12"/>
      <c r="N31" s="12"/>
    </row>
    <row r="32" spans="1:20" x14ac:dyDescent="0.25">
      <c r="A32" s="46" t="s">
        <v>37</v>
      </c>
      <c r="B32" s="46"/>
      <c r="C32" s="46"/>
      <c r="D32" s="5"/>
      <c r="E32" s="5"/>
      <c r="F32" s="21" t="e">
        <f t="shared" si="0"/>
        <v>#DIV/0!</v>
      </c>
      <c r="H32" s="1"/>
      <c r="J32" s="45" t="e">
        <f t="shared" si="4"/>
        <v>#DIV/0!</v>
      </c>
      <c r="K32" s="45"/>
      <c r="M32" s="12"/>
      <c r="N32" s="12"/>
    </row>
    <row r="33" spans="1:22" x14ac:dyDescent="0.25">
      <c r="M33" s="47"/>
      <c r="N33" s="47"/>
    </row>
    <row r="34" spans="1:22" x14ac:dyDescent="0.25">
      <c r="A34" s="48" t="s">
        <v>32</v>
      </c>
      <c r="B34" s="48"/>
      <c r="C34" s="49" t="s">
        <v>46</v>
      </c>
      <c r="M34" s="47"/>
      <c r="N34" s="47"/>
    </row>
    <row r="35" spans="1:22" x14ac:dyDescent="0.25">
      <c r="A35" s="46" t="s">
        <v>33</v>
      </c>
      <c r="B35" s="46"/>
      <c r="C35" s="46"/>
      <c r="D35" s="5">
        <v>6</v>
      </c>
      <c r="E35" s="5">
        <v>8</v>
      </c>
      <c r="F35" s="21">
        <f t="shared" si="0"/>
        <v>7</v>
      </c>
      <c r="H35" s="1">
        <v>2000</v>
      </c>
      <c r="J35" s="45">
        <f>F35*H35</f>
        <v>14000</v>
      </c>
      <c r="K35" s="45"/>
      <c r="M35" s="11" t="s">
        <v>95</v>
      </c>
      <c r="N35" s="11"/>
      <c r="T35" s="21" t="s">
        <v>95</v>
      </c>
      <c r="V35" s="21" t="s">
        <v>96</v>
      </c>
    </row>
    <row r="36" spans="1:22" x14ac:dyDescent="0.25">
      <c r="A36" s="46" t="s">
        <v>34</v>
      </c>
      <c r="B36" s="46"/>
      <c r="C36" s="46"/>
      <c r="D36" s="5">
        <v>31</v>
      </c>
      <c r="E36" s="5">
        <v>21</v>
      </c>
      <c r="F36" s="21">
        <f t="shared" si="0"/>
        <v>26</v>
      </c>
      <c r="H36" s="1">
        <v>2000</v>
      </c>
      <c r="J36" s="45">
        <f t="shared" ref="J36:J39" si="5">F36*H36</f>
        <v>52000</v>
      </c>
      <c r="K36" s="45"/>
      <c r="M36" s="12" t="s">
        <v>96</v>
      </c>
      <c r="N36" s="12"/>
      <c r="T36" s="50">
        <f>J35</f>
        <v>14000</v>
      </c>
      <c r="V36" s="50">
        <f>J35+J36</f>
        <v>66000</v>
      </c>
    </row>
    <row r="37" spans="1:22" x14ac:dyDescent="0.25">
      <c r="A37" s="46" t="s">
        <v>35</v>
      </c>
      <c r="B37" s="46"/>
      <c r="C37" s="46"/>
      <c r="D37" s="5"/>
      <c r="E37" s="5"/>
      <c r="F37" s="21" t="e">
        <f t="shared" si="0"/>
        <v>#DIV/0!</v>
      </c>
      <c r="H37" s="1"/>
      <c r="J37" s="45" t="e">
        <f t="shared" si="5"/>
        <v>#DIV/0!</v>
      </c>
      <c r="K37" s="45"/>
      <c r="M37" s="12"/>
      <c r="N37" s="12"/>
      <c r="T37" s="6" t="s">
        <v>133</v>
      </c>
      <c r="V37" s="6" t="s">
        <v>133</v>
      </c>
    </row>
    <row r="38" spans="1:22" x14ac:dyDescent="0.25">
      <c r="A38" s="46" t="s">
        <v>36</v>
      </c>
      <c r="B38" s="46"/>
      <c r="C38" s="46"/>
      <c r="D38" s="5"/>
      <c r="E38" s="5"/>
      <c r="F38" s="21" t="e">
        <f t="shared" si="0"/>
        <v>#DIV/0!</v>
      </c>
      <c r="H38" s="1"/>
      <c r="J38" s="45" t="e">
        <f t="shared" si="5"/>
        <v>#DIV/0!</v>
      </c>
      <c r="K38" s="45"/>
      <c r="M38" s="12"/>
      <c r="N38" s="12"/>
    </row>
    <row r="39" spans="1:22" x14ac:dyDescent="0.25">
      <c r="A39" s="46" t="s">
        <v>37</v>
      </c>
      <c r="B39" s="46"/>
      <c r="C39" s="46"/>
      <c r="D39" s="5"/>
      <c r="E39" s="5"/>
      <c r="F39" s="21" t="e">
        <f t="shared" si="0"/>
        <v>#DIV/0!</v>
      </c>
      <c r="H39" s="1"/>
      <c r="J39" s="45" t="e">
        <f t="shared" si="5"/>
        <v>#DIV/0!</v>
      </c>
      <c r="K39" s="45"/>
      <c r="M39" s="12"/>
      <c r="N39" s="12"/>
    </row>
    <row r="40" spans="1:22" x14ac:dyDescent="0.25">
      <c r="H40" s="6"/>
    </row>
    <row r="43" spans="1:22" x14ac:dyDescent="0.25">
      <c r="A43" s="22" t="s">
        <v>24</v>
      </c>
      <c r="D43" s="1" t="s">
        <v>90</v>
      </c>
      <c r="E43" s="1"/>
      <c r="F43" s="1"/>
      <c r="G43" s="1"/>
    </row>
    <row r="45" spans="1:22" ht="15.75" thickBot="1" x14ac:dyDescent="0.3">
      <c r="A45" s="23"/>
      <c r="B45" s="23"/>
      <c r="C45" s="23"/>
      <c r="D45" s="23" t="s">
        <v>39</v>
      </c>
      <c r="E45" s="23" t="s">
        <v>40</v>
      </c>
      <c r="F45" s="52" t="s">
        <v>38</v>
      </c>
      <c r="G45" s="52"/>
      <c r="J45" s="23" t="s">
        <v>51</v>
      </c>
      <c r="K45" s="23"/>
      <c r="L45" s="23"/>
      <c r="M45" s="23" t="s">
        <v>41</v>
      </c>
      <c r="N45" s="23"/>
      <c r="O45" s="23"/>
    </row>
    <row r="46" spans="1:22" ht="15.75" thickTop="1" x14ac:dyDescent="0.25">
      <c r="A46" s="48" t="s">
        <v>32</v>
      </c>
      <c r="B46" s="48"/>
      <c r="C46" s="49" t="s">
        <v>88</v>
      </c>
    </row>
    <row r="47" spans="1:22" x14ac:dyDescent="0.25">
      <c r="A47" s="46" t="s">
        <v>33</v>
      </c>
      <c r="B47" s="46"/>
      <c r="C47" s="46"/>
      <c r="D47" s="5">
        <v>378</v>
      </c>
      <c r="E47" s="5">
        <v>452</v>
      </c>
      <c r="F47" s="21">
        <f>AVERAGE(D47:E47)</f>
        <v>415</v>
      </c>
      <c r="H47" s="1">
        <v>200</v>
      </c>
      <c r="J47" s="45">
        <f>F47*H47</f>
        <v>83000</v>
      </c>
      <c r="K47" s="45"/>
      <c r="M47" s="11" t="s">
        <v>93</v>
      </c>
      <c r="N47" s="11"/>
      <c r="T47" s="21" t="s">
        <v>130</v>
      </c>
    </row>
    <row r="48" spans="1:22" x14ac:dyDescent="0.25">
      <c r="A48" s="46" t="s">
        <v>34</v>
      </c>
      <c r="B48" s="46"/>
      <c r="C48" s="46"/>
      <c r="D48" s="5"/>
      <c r="E48" s="5"/>
      <c r="F48" s="21" t="e">
        <f t="shared" ref="F48:F79" si="6">AVERAGE(D48:E48)</f>
        <v>#DIV/0!</v>
      </c>
      <c r="H48" s="1"/>
      <c r="J48" s="45" t="e">
        <f t="shared" ref="J48:J51" si="7">F48*H48</f>
        <v>#DIV/0!</v>
      </c>
      <c r="K48" s="45"/>
      <c r="M48" s="12"/>
      <c r="N48" s="12"/>
      <c r="T48" s="50">
        <f>AVERAGE(J47,J70)</f>
        <v>72300</v>
      </c>
    </row>
    <row r="49" spans="1:22" x14ac:dyDescent="0.25">
      <c r="A49" s="46" t="s">
        <v>35</v>
      </c>
      <c r="B49" s="46"/>
      <c r="C49" s="46"/>
      <c r="D49" s="5"/>
      <c r="E49" s="5"/>
      <c r="F49" s="21" t="e">
        <f t="shared" si="6"/>
        <v>#DIV/0!</v>
      </c>
      <c r="H49" s="1"/>
      <c r="J49" s="45" t="e">
        <f t="shared" si="7"/>
        <v>#DIV/0!</v>
      </c>
      <c r="K49" s="45"/>
      <c r="M49" s="12"/>
      <c r="N49" s="12"/>
      <c r="T49" s="6" t="s">
        <v>133</v>
      </c>
    </row>
    <row r="50" spans="1:22" x14ac:dyDescent="0.25">
      <c r="A50" s="46" t="s">
        <v>36</v>
      </c>
      <c r="B50" s="46"/>
      <c r="C50" s="46"/>
      <c r="D50" s="5"/>
      <c r="E50" s="5"/>
      <c r="F50" s="21" t="e">
        <f t="shared" si="6"/>
        <v>#DIV/0!</v>
      </c>
      <c r="H50" s="1"/>
      <c r="J50" s="45" t="e">
        <f t="shared" si="7"/>
        <v>#DIV/0!</v>
      </c>
      <c r="K50" s="45"/>
      <c r="M50" s="12"/>
      <c r="N50" s="12"/>
    </row>
    <row r="51" spans="1:22" x14ac:dyDescent="0.25">
      <c r="A51" s="46" t="s">
        <v>37</v>
      </c>
      <c r="B51" s="46"/>
      <c r="C51" s="46"/>
      <c r="D51" s="5"/>
      <c r="E51" s="5"/>
      <c r="F51" s="21" t="e">
        <f t="shared" si="6"/>
        <v>#DIV/0!</v>
      </c>
      <c r="H51" s="1"/>
      <c r="J51" s="45" t="e">
        <f t="shared" si="7"/>
        <v>#DIV/0!</v>
      </c>
      <c r="K51" s="45"/>
      <c r="M51" s="12"/>
      <c r="N51" s="12"/>
    </row>
    <row r="52" spans="1:22" x14ac:dyDescent="0.25">
      <c r="M52" s="47"/>
      <c r="N52" s="47"/>
    </row>
    <row r="53" spans="1:22" x14ac:dyDescent="0.25">
      <c r="A53" s="48" t="s">
        <v>32</v>
      </c>
      <c r="B53" s="48"/>
      <c r="C53" s="49" t="s">
        <v>47</v>
      </c>
      <c r="M53" s="47"/>
      <c r="N53" s="47"/>
      <c r="T53" s="21" t="s">
        <v>131</v>
      </c>
    </row>
    <row r="54" spans="1:22" x14ac:dyDescent="0.25">
      <c r="A54" s="46" t="s">
        <v>33</v>
      </c>
      <c r="B54" s="46"/>
      <c r="C54" s="46"/>
      <c r="D54" s="5">
        <v>344</v>
      </c>
      <c r="E54" s="5">
        <v>403</v>
      </c>
      <c r="F54" s="21">
        <f t="shared" si="6"/>
        <v>373.5</v>
      </c>
      <c r="H54" s="1">
        <v>200</v>
      </c>
      <c r="J54" s="45">
        <f>F54*H54</f>
        <v>74700</v>
      </c>
      <c r="K54" s="45"/>
      <c r="M54" s="11" t="s">
        <v>94</v>
      </c>
      <c r="N54" s="11"/>
      <c r="T54" s="50">
        <f>J54</f>
        <v>74700</v>
      </c>
    </row>
    <row r="55" spans="1:22" x14ac:dyDescent="0.25">
      <c r="A55" s="46" t="s">
        <v>34</v>
      </c>
      <c r="B55" s="46"/>
      <c r="C55" s="46"/>
      <c r="D55" s="5"/>
      <c r="E55" s="5"/>
      <c r="F55" s="21" t="e">
        <f t="shared" si="6"/>
        <v>#DIV/0!</v>
      </c>
      <c r="H55" s="1"/>
      <c r="J55" s="45" t="e">
        <f t="shared" ref="J55:J58" si="8">F55*H55</f>
        <v>#DIV/0!</v>
      </c>
      <c r="K55" s="45"/>
      <c r="M55" s="12"/>
      <c r="N55" s="12"/>
      <c r="T55" s="6" t="s">
        <v>133</v>
      </c>
    </row>
    <row r="56" spans="1:22" x14ac:dyDescent="0.25">
      <c r="A56" s="46" t="s">
        <v>35</v>
      </c>
      <c r="B56" s="46"/>
      <c r="C56" s="46"/>
      <c r="D56" s="5"/>
      <c r="E56" s="5"/>
      <c r="F56" s="21" t="e">
        <f t="shared" si="6"/>
        <v>#DIV/0!</v>
      </c>
      <c r="H56" s="1"/>
      <c r="J56" s="45" t="e">
        <f t="shared" si="8"/>
        <v>#DIV/0!</v>
      </c>
      <c r="K56" s="45"/>
      <c r="M56" s="12"/>
      <c r="N56" s="12"/>
    </row>
    <row r="57" spans="1:22" x14ac:dyDescent="0.25">
      <c r="A57" s="46" t="s">
        <v>36</v>
      </c>
      <c r="B57" s="46"/>
      <c r="C57" s="46"/>
      <c r="D57" s="5"/>
      <c r="E57" s="5"/>
      <c r="F57" s="21" t="e">
        <f t="shared" si="6"/>
        <v>#DIV/0!</v>
      </c>
      <c r="H57" s="1"/>
      <c r="J57" s="45" t="e">
        <f t="shared" si="8"/>
        <v>#DIV/0!</v>
      </c>
      <c r="K57" s="45"/>
      <c r="M57" s="12"/>
      <c r="N57" s="12"/>
    </row>
    <row r="58" spans="1:22" x14ac:dyDescent="0.25">
      <c r="A58" s="46" t="s">
        <v>37</v>
      </c>
      <c r="B58" s="46"/>
      <c r="C58" s="46"/>
      <c r="D58" s="5"/>
      <c r="E58" s="5"/>
      <c r="F58" s="21" t="e">
        <f t="shared" si="6"/>
        <v>#DIV/0!</v>
      </c>
      <c r="H58" s="1"/>
      <c r="J58" s="45" t="e">
        <f t="shared" si="8"/>
        <v>#DIV/0!</v>
      </c>
      <c r="K58" s="45"/>
      <c r="M58" s="12"/>
      <c r="N58" s="12"/>
    </row>
    <row r="59" spans="1:22" x14ac:dyDescent="0.25">
      <c r="M59" s="47"/>
      <c r="N59" s="47"/>
    </row>
    <row r="60" spans="1:22" x14ac:dyDescent="0.25">
      <c r="A60" s="48" t="s">
        <v>32</v>
      </c>
      <c r="B60" s="48"/>
      <c r="C60" s="49" t="s">
        <v>46</v>
      </c>
      <c r="M60" s="47"/>
      <c r="N60" s="47"/>
    </row>
    <row r="61" spans="1:22" x14ac:dyDescent="0.25">
      <c r="A61" s="46" t="s">
        <v>33</v>
      </c>
      <c r="B61" s="46"/>
      <c r="C61" s="46"/>
      <c r="D61" s="5">
        <v>74</v>
      </c>
      <c r="E61" s="5">
        <v>101</v>
      </c>
      <c r="F61" s="21">
        <f t="shared" si="6"/>
        <v>87.5</v>
      </c>
      <c r="H61" s="1">
        <v>200</v>
      </c>
      <c r="J61" s="45">
        <f>F61*H61</f>
        <v>17500</v>
      </c>
      <c r="K61" s="45"/>
      <c r="M61" s="11" t="s">
        <v>95</v>
      </c>
      <c r="N61" s="11"/>
      <c r="T61" s="21" t="s">
        <v>95</v>
      </c>
      <c r="V61" s="21" t="s">
        <v>142</v>
      </c>
    </row>
    <row r="62" spans="1:22" x14ac:dyDescent="0.25">
      <c r="A62" s="46" t="s">
        <v>34</v>
      </c>
      <c r="B62" s="46"/>
      <c r="C62" s="46"/>
      <c r="D62" s="5"/>
      <c r="E62" s="5"/>
      <c r="F62" s="21" t="e">
        <f t="shared" si="6"/>
        <v>#DIV/0!</v>
      </c>
      <c r="H62" s="1"/>
      <c r="J62" s="45" t="e">
        <f>F62*H62</f>
        <v>#DIV/0!</v>
      </c>
      <c r="K62" s="45"/>
      <c r="M62" s="12"/>
      <c r="N62" s="12"/>
      <c r="T62" s="50">
        <f>J61</f>
        <v>17500</v>
      </c>
      <c r="U62" s="51"/>
      <c r="V62" s="50">
        <f>J61</f>
        <v>17500</v>
      </c>
    </row>
    <row r="63" spans="1:22" x14ac:dyDescent="0.25">
      <c r="A63" s="46" t="s">
        <v>35</v>
      </c>
      <c r="B63" s="46"/>
      <c r="C63" s="46"/>
      <c r="D63" s="5"/>
      <c r="E63" s="5"/>
      <c r="F63" s="21" t="e">
        <f t="shared" si="6"/>
        <v>#DIV/0!</v>
      </c>
      <c r="H63" s="1"/>
      <c r="J63" s="45" t="e">
        <f t="shared" ref="J63:J65" si="9">F63*H63</f>
        <v>#DIV/0!</v>
      </c>
      <c r="K63" s="45"/>
      <c r="M63" s="12"/>
      <c r="N63" s="12"/>
      <c r="T63" s="6" t="s">
        <v>133</v>
      </c>
      <c r="V63" s="6" t="s">
        <v>133</v>
      </c>
    </row>
    <row r="64" spans="1:22" x14ac:dyDescent="0.25">
      <c r="A64" s="46" t="s">
        <v>36</v>
      </c>
      <c r="B64" s="46"/>
      <c r="C64" s="46"/>
      <c r="D64" s="5"/>
      <c r="E64" s="5"/>
      <c r="F64" s="21" t="e">
        <f t="shared" si="6"/>
        <v>#DIV/0!</v>
      </c>
      <c r="H64" s="1"/>
      <c r="J64" s="45" t="e">
        <f t="shared" si="9"/>
        <v>#DIV/0!</v>
      </c>
      <c r="K64" s="45"/>
      <c r="M64" s="12"/>
      <c r="N64" s="12"/>
    </row>
    <row r="65" spans="1:20" x14ac:dyDescent="0.25">
      <c r="A65" s="46" t="s">
        <v>37</v>
      </c>
      <c r="B65" s="46"/>
      <c r="C65" s="46"/>
      <c r="D65" s="5"/>
      <c r="E65" s="5"/>
      <c r="F65" s="21" t="e">
        <f t="shared" si="6"/>
        <v>#DIV/0!</v>
      </c>
      <c r="H65" s="1"/>
      <c r="J65" s="45" t="e">
        <f t="shared" si="9"/>
        <v>#DIV/0!</v>
      </c>
      <c r="K65" s="45"/>
      <c r="M65" s="12"/>
      <c r="N65" s="12"/>
    </row>
    <row r="66" spans="1:20" x14ac:dyDescent="0.25">
      <c r="M66" s="47"/>
      <c r="N66" s="47"/>
    </row>
    <row r="67" spans="1:20" x14ac:dyDescent="0.25">
      <c r="A67" s="48" t="s">
        <v>32</v>
      </c>
      <c r="B67" s="48"/>
      <c r="C67" s="49" t="s">
        <v>16</v>
      </c>
      <c r="M67" s="47"/>
      <c r="N67" s="47"/>
    </row>
    <row r="68" spans="1:20" x14ac:dyDescent="0.25">
      <c r="A68" s="46" t="s">
        <v>33</v>
      </c>
      <c r="B68" s="46"/>
      <c r="C68" s="46"/>
      <c r="D68" s="5">
        <v>26</v>
      </c>
      <c r="E68" s="5">
        <v>37</v>
      </c>
      <c r="F68" s="21">
        <f t="shared" si="6"/>
        <v>31.5</v>
      </c>
      <c r="H68" s="1">
        <v>200</v>
      </c>
      <c r="J68" s="45">
        <f>F68*H68</f>
        <v>6300</v>
      </c>
      <c r="K68" s="45"/>
      <c r="M68" s="11" t="s">
        <v>97</v>
      </c>
      <c r="N68" s="11"/>
    </row>
    <row r="69" spans="1:20" x14ac:dyDescent="0.25">
      <c r="A69" s="46" t="s">
        <v>34</v>
      </c>
      <c r="B69" s="46"/>
      <c r="C69" s="46"/>
      <c r="D69" s="5">
        <v>178</v>
      </c>
      <c r="E69" s="5">
        <v>272</v>
      </c>
      <c r="F69" s="21">
        <f t="shared" si="6"/>
        <v>225</v>
      </c>
      <c r="H69" s="1">
        <v>200</v>
      </c>
      <c r="J69" s="45">
        <f t="shared" ref="J69:J72" si="10">F69*H69</f>
        <v>45000</v>
      </c>
      <c r="K69" s="45"/>
      <c r="M69" s="12" t="s">
        <v>94</v>
      </c>
      <c r="N69" s="12"/>
    </row>
    <row r="70" spans="1:20" x14ac:dyDescent="0.25">
      <c r="A70" s="46" t="s">
        <v>35</v>
      </c>
      <c r="B70" s="46"/>
      <c r="C70" s="46"/>
      <c r="D70" s="5">
        <v>320</v>
      </c>
      <c r="E70" s="5">
        <v>296</v>
      </c>
      <c r="F70" s="21">
        <f t="shared" si="6"/>
        <v>308</v>
      </c>
      <c r="H70" s="1">
        <v>200</v>
      </c>
      <c r="J70" s="45">
        <f>F70*H70</f>
        <v>61600</v>
      </c>
      <c r="K70" s="45"/>
      <c r="M70" s="12" t="s">
        <v>93</v>
      </c>
      <c r="N70" s="12"/>
    </row>
    <row r="71" spans="1:20" x14ac:dyDescent="0.25">
      <c r="A71" s="46" t="s">
        <v>36</v>
      </c>
      <c r="B71" s="46"/>
      <c r="C71" s="46"/>
      <c r="D71" s="5"/>
      <c r="E71" s="5"/>
      <c r="F71" s="21" t="e">
        <f t="shared" si="6"/>
        <v>#DIV/0!</v>
      </c>
      <c r="H71" s="1"/>
      <c r="J71" s="45" t="e">
        <f t="shared" si="10"/>
        <v>#DIV/0!</v>
      </c>
      <c r="K71" s="45"/>
      <c r="M71" s="12"/>
      <c r="N71" s="12"/>
    </row>
    <row r="72" spans="1:20" x14ac:dyDescent="0.25">
      <c r="A72" s="46" t="s">
        <v>37</v>
      </c>
      <c r="B72" s="46"/>
      <c r="C72" s="46"/>
      <c r="D72" s="5"/>
      <c r="E72" s="5"/>
      <c r="F72" s="21" t="e">
        <f t="shared" si="6"/>
        <v>#DIV/0!</v>
      </c>
      <c r="H72" s="1"/>
      <c r="J72" s="45" t="e">
        <f t="shared" si="10"/>
        <v>#DIV/0!</v>
      </c>
      <c r="K72" s="45"/>
      <c r="M72" s="12"/>
      <c r="N72" s="12"/>
    </row>
    <row r="73" spans="1:20" x14ac:dyDescent="0.25">
      <c r="M73" s="47"/>
      <c r="N73" s="47"/>
    </row>
    <row r="74" spans="1:20" x14ac:dyDescent="0.25">
      <c r="A74" s="48" t="s">
        <v>32</v>
      </c>
      <c r="B74" s="48"/>
      <c r="C74" s="49" t="s">
        <v>49</v>
      </c>
      <c r="M74" s="47"/>
      <c r="N74" s="47"/>
    </row>
    <row r="75" spans="1:20" x14ac:dyDescent="0.25">
      <c r="A75" s="46" t="s">
        <v>33</v>
      </c>
      <c r="B75" s="46"/>
      <c r="C75" s="46"/>
      <c r="D75" s="5">
        <v>31</v>
      </c>
      <c r="E75" s="5">
        <v>56</v>
      </c>
      <c r="F75" s="21">
        <f t="shared" si="6"/>
        <v>43.5</v>
      </c>
      <c r="H75" s="1">
        <v>2000</v>
      </c>
      <c r="J75" s="45">
        <f>F75*H75</f>
        <v>87000</v>
      </c>
      <c r="K75" s="45"/>
      <c r="M75" s="11" t="s">
        <v>97</v>
      </c>
      <c r="N75" s="11"/>
      <c r="T75" s="21" t="s">
        <v>91</v>
      </c>
    </row>
    <row r="76" spans="1:20" x14ac:dyDescent="0.25">
      <c r="A76" s="46" t="s">
        <v>34</v>
      </c>
      <c r="B76" s="46"/>
      <c r="C76" s="46"/>
      <c r="D76" s="5"/>
      <c r="E76" s="5"/>
      <c r="F76" s="21" t="e">
        <f t="shared" si="6"/>
        <v>#DIV/0!</v>
      </c>
      <c r="H76" s="1"/>
      <c r="J76" s="45" t="e">
        <f t="shared" ref="J76:J79" si="11">F76*H76</f>
        <v>#DIV/0!</v>
      </c>
      <c r="K76" s="45"/>
      <c r="M76" s="12"/>
      <c r="N76" s="12"/>
      <c r="T76" s="21">
        <v>0</v>
      </c>
    </row>
    <row r="77" spans="1:20" x14ac:dyDescent="0.25">
      <c r="A77" s="46" t="s">
        <v>35</v>
      </c>
      <c r="B77" s="46"/>
      <c r="C77" s="46"/>
      <c r="D77" s="5"/>
      <c r="E77" s="5"/>
      <c r="F77" s="21" t="e">
        <f t="shared" si="6"/>
        <v>#DIV/0!</v>
      </c>
      <c r="H77" s="1"/>
      <c r="J77" s="45" t="e">
        <f t="shared" si="11"/>
        <v>#DIV/0!</v>
      </c>
      <c r="K77" s="45"/>
      <c r="M77" s="12"/>
      <c r="N77" s="12"/>
      <c r="T77" s="6" t="s">
        <v>134</v>
      </c>
    </row>
    <row r="78" spans="1:20" x14ac:dyDescent="0.25">
      <c r="A78" s="46" t="s">
        <v>36</v>
      </c>
      <c r="B78" s="46"/>
      <c r="C78" s="46"/>
      <c r="D78" s="5"/>
      <c r="E78" s="5"/>
      <c r="F78" s="21" t="e">
        <f t="shared" si="6"/>
        <v>#DIV/0!</v>
      </c>
      <c r="H78" s="1"/>
      <c r="J78" s="45" t="e">
        <f t="shared" si="11"/>
        <v>#DIV/0!</v>
      </c>
      <c r="K78" s="45"/>
      <c r="M78" s="12"/>
      <c r="N78" s="12"/>
    </row>
    <row r="79" spans="1:20" x14ac:dyDescent="0.25">
      <c r="A79" s="46" t="s">
        <v>37</v>
      </c>
      <c r="B79" s="46"/>
      <c r="C79" s="46"/>
      <c r="D79" s="5"/>
      <c r="E79" s="5"/>
      <c r="F79" s="21" t="e">
        <f t="shared" si="6"/>
        <v>#DIV/0!</v>
      </c>
      <c r="H79" s="1"/>
      <c r="J79" s="45" t="e">
        <f t="shared" si="11"/>
        <v>#DIV/0!</v>
      </c>
      <c r="K79" s="45"/>
      <c r="M79" s="12"/>
      <c r="N79" s="12"/>
    </row>
  </sheetData>
  <mergeCells count="104">
    <mergeCell ref="S1:T1"/>
    <mergeCell ref="A78:C78"/>
    <mergeCell ref="J78:K78"/>
    <mergeCell ref="A79:C79"/>
    <mergeCell ref="J79:K79"/>
    <mergeCell ref="A71:C71"/>
    <mergeCell ref="J71:K71"/>
    <mergeCell ref="A72:C72"/>
    <mergeCell ref="J72:K72"/>
    <mergeCell ref="A77:C77"/>
    <mergeCell ref="J77:K77"/>
    <mergeCell ref="A50:C50"/>
    <mergeCell ref="J50:K50"/>
    <mergeCell ref="A51:C51"/>
    <mergeCell ref="J51:K51"/>
    <mergeCell ref="A57:C57"/>
    <mergeCell ref="J57:K57"/>
    <mergeCell ref="A55:C55"/>
    <mergeCell ref="J55:K55"/>
    <mergeCell ref="A56:C56"/>
    <mergeCell ref="J56:K56"/>
    <mergeCell ref="A54:C54"/>
    <mergeCell ref="J54:K54"/>
    <mergeCell ref="A75:C75"/>
    <mergeCell ref="J75:K75"/>
    <mergeCell ref="A76:C76"/>
    <mergeCell ref="J76:K76"/>
    <mergeCell ref="A69:C69"/>
    <mergeCell ref="J69:K69"/>
    <mergeCell ref="A70:C70"/>
    <mergeCell ref="J70:K70"/>
    <mergeCell ref="A68:C68"/>
    <mergeCell ref="J68:K68"/>
    <mergeCell ref="A65:C65"/>
    <mergeCell ref="J65:K65"/>
    <mergeCell ref="A61:C61"/>
    <mergeCell ref="J61:K61"/>
    <mergeCell ref="A62:C62"/>
    <mergeCell ref="J62:K62"/>
    <mergeCell ref="A58:C58"/>
    <mergeCell ref="J58:K58"/>
    <mergeCell ref="A64:C64"/>
    <mergeCell ref="A63:C63"/>
    <mergeCell ref="J63:K63"/>
    <mergeCell ref="J64:K64"/>
    <mergeCell ref="A39:C39"/>
    <mergeCell ref="J39:K39"/>
    <mergeCell ref="A36:C36"/>
    <mergeCell ref="J36:K36"/>
    <mergeCell ref="A37:C37"/>
    <mergeCell ref="J37:K37"/>
    <mergeCell ref="A49:C49"/>
    <mergeCell ref="J49:K49"/>
    <mergeCell ref="A47:C47"/>
    <mergeCell ref="J47:K47"/>
    <mergeCell ref="A48:C48"/>
    <mergeCell ref="J48:K48"/>
    <mergeCell ref="A32:C32"/>
    <mergeCell ref="J32:K32"/>
    <mergeCell ref="A35:C35"/>
    <mergeCell ref="J35:K35"/>
    <mergeCell ref="A30:C30"/>
    <mergeCell ref="J30:K30"/>
    <mergeCell ref="A31:C31"/>
    <mergeCell ref="J31:K31"/>
    <mergeCell ref="A38:C38"/>
    <mergeCell ref="J38:K38"/>
    <mergeCell ref="A23:C23"/>
    <mergeCell ref="J23:K23"/>
    <mergeCell ref="A18:C18"/>
    <mergeCell ref="J18:K18"/>
    <mergeCell ref="A21:C21"/>
    <mergeCell ref="J21:K21"/>
    <mergeCell ref="A28:C28"/>
    <mergeCell ref="J28:K28"/>
    <mergeCell ref="A29:C29"/>
    <mergeCell ref="J29:K29"/>
    <mergeCell ref="A24:C24"/>
    <mergeCell ref="J24:K24"/>
    <mergeCell ref="A25:C25"/>
    <mergeCell ref="J25:K25"/>
    <mergeCell ref="A16:C16"/>
    <mergeCell ref="J16:K16"/>
    <mergeCell ref="A17:C17"/>
    <mergeCell ref="J17:K17"/>
    <mergeCell ref="A14:C14"/>
    <mergeCell ref="J14:K14"/>
    <mergeCell ref="A15:C15"/>
    <mergeCell ref="J15:K15"/>
    <mergeCell ref="A22:C22"/>
    <mergeCell ref="J22:K22"/>
    <mergeCell ref="A1:C1"/>
    <mergeCell ref="D1:L1"/>
    <mergeCell ref="M1:O1"/>
    <mergeCell ref="A11:C11"/>
    <mergeCell ref="A10:C10"/>
    <mergeCell ref="A9:C9"/>
    <mergeCell ref="A8:C8"/>
    <mergeCell ref="A7:C7"/>
    <mergeCell ref="J11:K11"/>
    <mergeCell ref="J10:K10"/>
    <mergeCell ref="J9:K9"/>
    <mergeCell ref="J8:K8"/>
    <mergeCell ref="J7:K7"/>
  </mergeCells>
  <phoneticPr fontId="3" type="noConversion"/>
  <pageMargins left="0.7" right="0.7" top="0.75" bottom="0.75" header="0.3" footer="0.3"/>
  <pageSetup paperSize="9" scale="4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Registrazione</vt:lpstr>
      <vt:lpstr>Annotazioni operatore 1</vt:lpstr>
      <vt:lpstr>Annotazioni operatore 2</vt:lpstr>
      <vt:lpstr>Risultati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Microbiologia2</dc:creator>
  <cp:lastModifiedBy>11770</cp:lastModifiedBy>
  <cp:lastPrinted>2025-11-20T08:29:53Z</cp:lastPrinted>
  <dcterms:created xsi:type="dcterms:W3CDTF">2015-06-05T18:19:34Z</dcterms:created>
  <dcterms:modified xsi:type="dcterms:W3CDTF">2025-11-20T08:30:08Z</dcterms:modified>
</cp:coreProperties>
</file>